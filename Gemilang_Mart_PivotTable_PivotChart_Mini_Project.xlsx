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pivotTables/_rels/pivotTable2.xml.rels" ContentType="application/vnd.openxmlformats-package.relationships+xml"/>
  <Override PartName="/xl/pivotTables/_rels/pivotTable1.xml.rels" ContentType="application/vnd.openxmlformats-package.relationships+xml"/>
  <Override PartName="/xl/pivotTables/pivotTable1.xml" ContentType="application/vnd.openxmlformats-officedocument.spreadsheetml.pivotTable+xml"/>
  <Override PartName="/xl/pivotTables/pivotTable2.xml" ContentType="application/vnd.openxmlformats-officedocument.spreadsheetml.pivotTabl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pivotCache/pivotCacheDefinition1.xml" ContentType="application/vnd.openxmlformats-officedocument.spreadsheetml.pivotCacheDefinition+xml"/>
  <Override PartName="/xl/pivotCache/_rels/pivotCacheDefinition1.xml.rels" ContentType="application/vnd.openxmlformats-package.relationships+xml"/>
  <Override PartName="/xl/pivotCache/pivotCacheRecords1.xml" ContentType="application/vnd.openxmlformats-officedocument.spreadsheetml.pivotCacheRecords+xml"/>
  <Override PartName="/xl/tables/table1.xml" ContentType="application/vnd.openxmlformats-officedocument.spreadsheetml.table+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Data Penjualan" sheetId="2" state="visible" r:id="rId4"/>
    <sheet name="Latihan Saya - Pivot 1" sheetId="3" state="visible" r:id="rId5"/>
    <sheet name="Latihan Saya - Pivot 2" sheetId="4" state="visible" r:id="rId6"/>
    <sheet name="Latihan Saya" sheetId="5" state="visible" r:id="rId7"/>
  </sheets>
  <calcPr iterateCount="100" refMode="A1" iterate="false" iterateDelta="0.0001"/>
  <pivotCaches>
    <pivotCache cacheId="1" r:id="rId9"/>
  </pivotCaches>
  <extLst>
    <ext xmlns:loext="http://schemas.libreoffice.org/" uri="{7626C862-2A13-11E5-B345-FEFF819CDC9F}">
      <loext:extCalcPr stringRefSyntax="ExcelA1"/>
    </ext>
  </extLst>
</workbook>
</file>

<file path=xl/sharedStrings.xml><?xml version="1.0" encoding="utf-8"?>
<sst xmlns="http://schemas.openxmlformats.org/spreadsheetml/2006/main" count="859" uniqueCount="74">
  <si>
    <t xml:space="preserve">GEMILANG MART</t>
  </si>
  <si>
    <t xml:space="preserve">Laporan Penjualan Kuartal 1 2025 — PivotTable &amp; PivotChart Practice Project</t>
  </si>
  <si>
    <t xml:space="preserve">Mini Data Analysis Project | Microsoft Excel</t>
  </si>
  <si>
    <t xml:space="preserve">Dibuat oleh</t>
  </si>
  <si>
    <t xml:space="preserve">Bima Maulana</t>
  </si>
  <si>
    <t xml:space="preserve">Tools</t>
  </si>
  <si>
    <t xml:space="preserve">Microsoft Excel — PivotTable &amp; PivotChart</t>
  </si>
  <si>
    <t xml:space="preserve">Skala</t>
  </si>
  <si>
    <t xml:space="preserve">Project mini/latihan — 1 sumber data, fokus di 2 skenario Pivot</t>
  </si>
  <si>
    <t xml:space="preserve">Periode Data</t>
  </si>
  <si>
    <t xml:space="preserve">Januari - Maret 2025 (Q1 2025)</t>
  </si>
  <si>
    <t xml:space="preserve">Cakupan</t>
  </si>
  <si>
    <t xml:space="preserve">5 cabang minimarket di Jabodetabek, 4 kategori produk</t>
  </si>
  <si>
    <t xml:space="preserve">TENTANG PROJECT INI</t>
  </si>
  <si>
    <t xml:space="preserve">Gemilang Mart adalah minimarket fiktif dengan 5 cabang di area Jabodetabek yang menjual</t>
  </si>
  <si>
    <t xml:space="preserve">kebutuhan sehari-hari (makanan, minuman, snack, kebutuhan rumah tangga). Project ini</t>
  </si>
  <si>
    <t xml:space="preserve">dibuat sebagai latihan singkat &amp; terarah untuk menguasai PivotTable dan PivotChart di</t>
  </si>
  <si>
    <t xml:space="preserve">Excel — cocok untuk pemula yang baru belajar kedua fitur ini dari data mentah sampai</t>
  </si>
  <si>
    <t xml:space="preserve">jadi laporan ringkas yang bisa dibaca manajemen toko.</t>
  </si>
  <si>
    <t xml:space="preserve">YANG SUDAH DISIAPKAN vs YANG PERLU KAMU KERJAKAN</t>
  </si>
  <si>
    <t xml:space="preserve">Sudah disiapkan</t>
  </si>
  <si>
    <t xml:space="preserve">Data transaksi bersih dalam Excel Table + panduan langkah demi langkah</t>
  </si>
  <si>
    <t xml:space="preserve">Perlu kamu kerjakan</t>
  </si>
  <si>
    <t xml:space="preserve">Membuat sendiri 2 PivotTable + 2 PivotChart di sheet 'Latihan Saya' mengikuti panduan</t>
  </si>
  <si>
    <t xml:space="preserve">STRUKTUR WORKBOOK</t>
  </si>
  <si>
    <t xml:space="preserve">Cover</t>
  </si>
  <si>
    <t xml:space="preserve">Halaman ini</t>
  </si>
  <si>
    <t xml:space="preserve">Data Penjualan</t>
  </si>
  <si>
    <t xml:space="preserve">Data transaksi Q1 2025 (Excel Table: TabelGemilang)</t>
  </si>
  <si>
    <t xml:space="preserve">Langkah PivotTable</t>
  </si>
  <si>
    <t xml:space="preserve">2 skenario step-by-step membuat PivotTable</t>
  </si>
  <si>
    <t xml:space="preserve">Langkah PivotChart</t>
  </si>
  <si>
    <t xml:space="preserve">2 skenario step-by-step mengubah PivotTable jadi PivotChart</t>
  </si>
  <si>
    <t xml:space="preserve">Latihan Saya</t>
  </si>
  <si>
    <t xml:space="preserve">Sheet kosong untuk kamu praktik langsung — belum diisi, sengaja dikosongkan</t>
  </si>
  <si>
    <t xml:space="preserve">Tanggal</t>
  </si>
  <si>
    <t xml:space="preserve">Cabang</t>
  </si>
  <si>
    <t xml:space="preserve">Kategori</t>
  </si>
  <si>
    <t xml:space="preserve">Produk</t>
  </si>
  <si>
    <t xml:space="preserve">Qty</t>
  </si>
  <si>
    <t xml:space="preserve">Harga Satuan</t>
  </si>
  <si>
    <t xml:space="preserve">Total Penjualan</t>
  </si>
  <si>
    <t xml:space="preserve">Gemilang Tangerang BSD</t>
  </si>
  <si>
    <t xml:space="preserve">Makanan</t>
  </si>
  <si>
    <t xml:space="preserve">Roti Tawar</t>
  </si>
  <si>
    <t xml:space="preserve">Gemilang Kelapa Gading</t>
  </si>
  <si>
    <t xml:space="preserve">Minuman</t>
  </si>
  <si>
    <t xml:space="preserve">Susu UHT 1L</t>
  </si>
  <si>
    <t xml:space="preserve">Gemilang Bekasi Timur</t>
  </si>
  <si>
    <t xml:space="preserve">Kebutuhan Rumah</t>
  </si>
  <si>
    <t xml:space="preserve">Deterjen Bubuk 800g</t>
  </si>
  <si>
    <t xml:space="preserve">Mie Instan Goreng</t>
  </si>
  <si>
    <t xml:space="preserve">Sabun Cuci Piring 800ml</t>
  </si>
  <si>
    <t xml:space="preserve">Air Mineral 600ml</t>
  </si>
  <si>
    <t xml:space="preserve">Gemilang Bogor Baru</t>
  </si>
  <si>
    <t xml:space="preserve">Telur Ayam 1kg</t>
  </si>
  <si>
    <t xml:space="preserve">Gemilang Depok Margonda</t>
  </si>
  <si>
    <t xml:space="preserve">Sabun Mandi Batang</t>
  </si>
  <si>
    <t xml:space="preserve">Teh Botol</t>
  </si>
  <si>
    <t xml:space="preserve">Snack</t>
  </si>
  <si>
    <t xml:space="preserve">Keripik Kentang</t>
  </si>
  <si>
    <t xml:space="preserve">Biskuit Kaleng</t>
  </si>
  <si>
    <t xml:space="preserve">Beras 5kg</t>
  </si>
  <si>
    <t xml:space="preserve">Coklat Batang</t>
  </si>
  <si>
    <t xml:space="preserve">Kacang Kulit 250g</t>
  </si>
  <si>
    <t xml:space="preserve">Tisu Gulung (isi 4)</t>
  </si>
  <si>
    <t xml:space="preserve">Kopi Sachet (renceng)</t>
  </si>
  <si>
    <t xml:space="preserve">Sum of Total Penjualan</t>
  </si>
  <si>
    <t xml:space="preserve">Total Result</t>
  </si>
  <si>
    <t xml:space="preserve">Sum of Qty</t>
  </si>
  <si>
    <t xml:space="preserve">Insight</t>
  </si>
  <si>
    <t xml:space="preserve">1.  Cabang Gemilang Tangerang BSD menjadi kontributor penjualan tertinggi selama Q1 2025 (Rp 14.777.500), didorong terutama oleh kategori Makanan yang juga merupakan kategori dengan penjualan terbesar secara keseluruhan (Rp 31.674.500, atau lebih dari separuh total penjualan Rp 57.108.000).</t>
  </si>
  <si>
    <t xml:space="preserve">2.  Beras 5kg adalah produk paling laris sepanjang Q1 dengan total 380 unit terjual, sementara Biskuit Kaleng menunjukkan pola musiman menarik: melonjak tajam di Februari (100 unit) lalu anjlok di Maret (hanya 17 unit).</t>
  </si>
  <si>
    <t xml:space="preserve">3.  Kategori Minuman menjadi kontributor penjualan terkecil (Rp 5.943.500), dengan cabang Kelapa Gading mencatat penjualan Minuman terendah dibanding cabang lain — berpotensi jadi area evaluasi strategi penjualan.</t>
  </si>
</sst>
</file>

<file path=xl/styles.xml><?xml version="1.0" encoding="utf-8"?>
<styleSheet xmlns="http://schemas.openxmlformats.org/spreadsheetml/2006/main">
  <numFmts count="3">
    <numFmt numFmtId="164" formatCode="General"/>
    <numFmt numFmtId="165" formatCode="m/d/yyyy"/>
    <numFmt numFmtId="166" formatCode="#,##0"/>
  </numFmts>
  <fonts count="20">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b val="true"/>
      <sz val="22"/>
      <color rgb="FFC0392B"/>
      <name val="Arial"/>
      <family val="0"/>
      <charset val="1"/>
    </font>
    <font>
      <i val="true"/>
      <sz val="12.5"/>
      <color rgb="FF595959"/>
      <name val="Arial"/>
      <family val="0"/>
      <charset val="1"/>
    </font>
    <font>
      <i val="true"/>
      <sz val="11"/>
      <color rgb="FF595959"/>
      <name val="Arial"/>
      <family val="0"/>
      <charset val="1"/>
    </font>
    <font>
      <b val="true"/>
      <sz val="10.5"/>
      <name val="Arial"/>
      <family val="0"/>
      <charset val="1"/>
    </font>
    <font>
      <sz val="10.5"/>
      <name val="Arial"/>
      <family val="0"/>
      <charset val="1"/>
    </font>
    <font>
      <b val="true"/>
      <sz val="12"/>
      <color rgb="FFFFFFFF"/>
      <name val="Arial"/>
      <family val="0"/>
      <charset val="1"/>
    </font>
    <font>
      <b val="true"/>
      <sz val="11"/>
      <color rgb="FFFFFFFF"/>
      <name val="Arial"/>
      <family val="0"/>
      <charset val="1"/>
    </font>
    <font>
      <sz val="14"/>
      <color rgb="FF595959"/>
      <name val="Calibri"/>
      <family val="2"/>
    </font>
    <font>
      <sz val="9"/>
      <color rgb="FF595959"/>
      <name val="Calibri"/>
      <family val="2"/>
    </font>
    <font>
      <b val="true"/>
      <sz val="16"/>
      <color rgb="FFC0522A"/>
      <name val="Calibri"/>
      <family val="0"/>
      <charset val="1"/>
    </font>
    <font>
      <i val="true"/>
      <sz val="10"/>
      <color rgb="FF808080"/>
      <name val="Arial"/>
      <family val="0"/>
      <charset val="1"/>
    </font>
    <font>
      <sz val="10.5"/>
      <color rgb="FF333333"/>
      <name val="Calibri"/>
      <family val="0"/>
      <charset val="1"/>
    </font>
    <font>
      <sz val="11"/>
      <name val="Arial"/>
      <family val="2"/>
      <charset val="1"/>
    </font>
    <font>
      <sz val="11"/>
      <name val="Arial"/>
      <family val="0"/>
      <charset val="1"/>
    </font>
    <font>
      <b val="true"/>
      <sz val="11"/>
      <name val="Arial"/>
      <family val="0"/>
      <charset val="1"/>
    </font>
  </fonts>
  <fills count="5">
    <fill>
      <patternFill patternType="none"/>
    </fill>
    <fill>
      <patternFill patternType="gray125"/>
    </fill>
    <fill>
      <patternFill patternType="solid">
        <fgColor rgb="FF922B21"/>
        <bgColor rgb="FFC0392B"/>
      </patternFill>
    </fill>
    <fill>
      <patternFill patternType="solid">
        <fgColor rgb="FFC0392B"/>
        <bgColor rgb="FFC0522A"/>
      </patternFill>
    </fill>
    <fill>
      <patternFill patternType="solid">
        <fgColor rgb="FFFDECE0"/>
        <bgColor rgb="FFFFFFFF"/>
      </patternFill>
    </fill>
  </fills>
  <borders count="29">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medium"/>
      <right style="thin"/>
      <top style="medium"/>
      <bottom/>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medium"/>
      <right style="thin"/>
      <top/>
      <bottom style="thin"/>
      <diagonal/>
    </border>
    <border diagonalUp="false" diagonalDown="false">
      <left style="thin"/>
      <right/>
      <top/>
      <bottom style="thin"/>
      <diagonal/>
    </border>
    <border diagonalUp="false" diagonalDown="false">
      <left/>
      <right/>
      <top/>
      <bottom style="thin"/>
      <diagonal/>
    </border>
    <border diagonalUp="false" diagonalDown="false">
      <left/>
      <right style="medium"/>
      <top/>
      <bottom style="thin"/>
      <diagonal/>
    </border>
    <border diagonalUp="false" diagonalDown="false">
      <left style="medium"/>
      <right style="thin"/>
      <top style="thin"/>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medium"/>
      <top style="thin"/>
      <bottom/>
      <diagonal/>
    </border>
    <border diagonalUp="false" diagonalDown="false">
      <left style="medium"/>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style="medium"/>
      <top/>
      <bottom/>
      <diagonal/>
    </border>
    <border diagonalUp="false" diagonalDown="false">
      <left/>
      <right style="thin"/>
      <top/>
      <bottom style="thin"/>
      <diagonal/>
    </border>
    <border diagonalUp="false" diagonalDown="false">
      <left style="thin"/>
      <right style="medium"/>
      <top/>
      <bottom style="thin"/>
      <diagonal/>
    </border>
    <border diagonalUp="false" diagonalDown="false">
      <left style="medium"/>
      <right style="thin"/>
      <top/>
      <bottom style="medium"/>
      <diagonal/>
    </border>
    <border diagonalUp="false" diagonalDown="false">
      <left style="thin"/>
      <right/>
      <top style="thin"/>
      <bottom style="medium"/>
      <diagonal/>
    </border>
    <border diagonalUp="false" diagonalDown="false">
      <left/>
      <right/>
      <top style="thin"/>
      <bottom style="medium"/>
      <diagonal/>
    </border>
    <border diagonalUp="false" diagonalDown="false">
      <left/>
      <right style="thin"/>
      <top style="thin"/>
      <bottom style="medium"/>
      <diagonal/>
    </border>
    <border diagonalUp="false" diagonalDown="false">
      <left style="thin"/>
      <right style="medium"/>
      <top style="thin"/>
      <bottom style="mediu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thin">
        <color rgb="FFE0B896"/>
      </left>
      <right style="thin">
        <color rgb="FFE0B896"/>
      </right>
      <top style="thin">
        <color rgb="FFE0B896"/>
      </top>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left"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left"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2"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general" vertical="bottom" textRotation="0" wrapText="false" indent="0" shrinkToFit="false"/>
      <protection locked="true" hidden="false"/>
    </xf>
    <xf numFmtId="164" fontId="0" fillId="0" borderId="2" xfId="21" applyFont="true" applyBorder="true" applyAlignment="false" applyProtection="false">
      <alignment horizontal="general" vertical="bottom" textRotation="0" wrapText="false" indent="0" shrinkToFit="false"/>
      <protection locked="true" hidden="false"/>
    </xf>
    <xf numFmtId="164" fontId="0" fillId="0" borderId="3" xfId="22" applyFont="true" applyBorder="true" applyAlignment="false" applyProtection="false">
      <alignment horizontal="general" vertical="bottom" textRotation="0" wrapText="false" indent="0" shrinkToFit="false"/>
      <protection locked="true" hidden="false"/>
    </xf>
    <xf numFmtId="164" fontId="0" fillId="0" borderId="4" xfId="21" applyFont="false" applyBorder="true" applyAlignment="false" applyProtection="false">
      <alignment horizontal="general" vertical="bottom" textRotation="0" wrapText="false" indent="0" shrinkToFit="false"/>
      <protection locked="true" hidden="false"/>
    </xf>
    <xf numFmtId="164" fontId="0" fillId="0" borderId="5" xfId="21" applyFont="false" applyBorder="true" applyAlignment="false" applyProtection="false">
      <alignment horizontal="general" vertical="bottom" textRotation="0" wrapText="false" indent="0" shrinkToFit="false"/>
      <protection locked="true" hidden="false"/>
    </xf>
    <xf numFmtId="164" fontId="0" fillId="0" borderId="6" xfId="22" applyFont="true" applyBorder="true" applyAlignment="false" applyProtection="false">
      <alignment horizontal="general" vertical="bottom" textRotation="0" wrapText="false" indent="0" shrinkToFit="false"/>
      <protection locked="true" hidden="false"/>
    </xf>
    <xf numFmtId="164" fontId="0" fillId="0" borderId="7" xfId="20" applyFont="true" applyBorder="true" applyAlignment="false" applyProtection="false">
      <alignment horizontal="left" vertical="bottom" textRotation="0" wrapText="false" indent="0" shrinkToFit="false"/>
      <protection locked="true" hidden="false"/>
    </xf>
    <xf numFmtId="164" fontId="0" fillId="0" borderId="8" xfId="20" applyFont="true" applyBorder="true" applyAlignment="false" applyProtection="false">
      <alignment horizontal="left" vertical="bottom" textRotation="0" wrapText="false" indent="0" shrinkToFit="false"/>
      <protection locked="true" hidden="false"/>
    </xf>
    <xf numFmtId="164" fontId="4" fillId="0" borderId="9" xfId="24" applyFont="true" applyBorder="true" applyAlignment="false" applyProtection="false">
      <alignment horizontal="left" vertical="bottom" textRotation="0" wrapText="false" indent="0" shrinkToFit="false"/>
      <protection locked="true" hidden="false"/>
    </xf>
    <xf numFmtId="164" fontId="0" fillId="0" borderId="10" xfId="20" applyFont="true" applyBorder="true" applyAlignment="false" applyProtection="false">
      <alignment horizontal="left" vertical="bottom" textRotation="0" wrapText="false" indent="0" shrinkToFit="false"/>
      <protection locked="true" hidden="false"/>
    </xf>
    <xf numFmtId="166" fontId="0" fillId="0" borderId="11" xfId="25" applyFont="false" applyBorder="true" applyAlignment="false" applyProtection="false">
      <alignment horizontal="general" vertical="bottom" textRotation="0" wrapText="false" indent="0" shrinkToFit="false"/>
      <protection locked="true" hidden="false"/>
    </xf>
    <xf numFmtId="166" fontId="0" fillId="0" borderId="12" xfId="25" applyFont="false" applyBorder="true" applyAlignment="false" applyProtection="false">
      <alignment horizontal="general" vertical="bottom" textRotation="0" wrapText="false" indent="0" shrinkToFit="false"/>
      <protection locked="true" hidden="false"/>
    </xf>
    <xf numFmtId="166" fontId="0" fillId="0" borderId="13" xfId="25" applyFont="false" applyBorder="true" applyAlignment="false" applyProtection="false">
      <alignment horizontal="general" vertical="bottom" textRotation="0" wrapText="false" indent="0" shrinkToFit="false"/>
      <protection locked="true" hidden="false"/>
    </xf>
    <xf numFmtId="166" fontId="4" fillId="0" borderId="14" xfId="23" applyFont="false" applyBorder="true" applyAlignment="false" applyProtection="false">
      <alignment horizontal="general" vertical="bottom" textRotation="0" wrapText="false" indent="0" shrinkToFit="false"/>
      <protection locked="true" hidden="false"/>
    </xf>
    <xf numFmtId="164" fontId="0" fillId="0" borderId="15" xfId="20" applyFont="true" applyBorder="true" applyAlignment="false" applyProtection="false">
      <alignment horizontal="left" vertical="bottom" textRotation="0" wrapText="false" indent="0" shrinkToFit="false"/>
      <protection locked="true" hidden="false"/>
    </xf>
    <xf numFmtId="166" fontId="0" fillId="0" borderId="16" xfId="25" applyFont="false" applyBorder="true" applyAlignment="false" applyProtection="false">
      <alignment horizontal="general" vertical="bottom" textRotation="0" wrapText="false" indent="0" shrinkToFit="false"/>
      <protection locked="true" hidden="false"/>
    </xf>
    <xf numFmtId="166" fontId="0" fillId="0" borderId="0" xfId="25" applyFont="false" applyBorder="false" applyAlignment="false" applyProtection="false">
      <alignment horizontal="general" vertical="bottom" textRotation="0" wrapText="false" indent="0" shrinkToFit="false"/>
      <protection locked="true" hidden="false"/>
    </xf>
    <xf numFmtId="166" fontId="0" fillId="0" borderId="17" xfId="25" applyFont="false" applyBorder="true" applyAlignment="false" applyProtection="false">
      <alignment horizontal="general" vertical="bottom" textRotation="0" wrapText="false" indent="0" shrinkToFit="false"/>
      <protection locked="true" hidden="false"/>
    </xf>
    <xf numFmtId="166" fontId="4" fillId="0" borderId="18" xfId="23" applyFont="false" applyBorder="true" applyAlignment="false" applyProtection="false">
      <alignment horizontal="general" vertical="bottom" textRotation="0" wrapText="false" indent="0" shrinkToFit="false"/>
      <protection locked="true" hidden="false"/>
    </xf>
    <xf numFmtId="166" fontId="0" fillId="0" borderId="7" xfId="25" applyFont="false" applyBorder="true" applyAlignment="false" applyProtection="false">
      <alignment horizontal="general" vertical="bottom" textRotation="0" wrapText="false" indent="0" shrinkToFit="false"/>
      <protection locked="true" hidden="false"/>
    </xf>
    <xf numFmtId="166" fontId="0" fillId="0" borderId="8" xfId="25" applyFont="false" applyBorder="true" applyAlignment="false" applyProtection="false">
      <alignment horizontal="general" vertical="bottom" textRotation="0" wrapText="false" indent="0" shrinkToFit="false"/>
      <protection locked="true" hidden="false"/>
    </xf>
    <xf numFmtId="166" fontId="0" fillId="0" borderId="19" xfId="25" applyFont="false" applyBorder="true" applyAlignment="false" applyProtection="false">
      <alignment horizontal="general" vertical="bottom" textRotation="0" wrapText="false" indent="0" shrinkToFit="false"/>
      <protection locked="true" hidden="false"/>
    </xf>
    <xf numFmtId="166" fontId="4" fillId="0" borderId="20" xfId="23" applyFont="false" applyBorder="true" applyAlignment="false" applyProtection="false">
      <alignment horizontal="general" vertical="bottom" textRotation="0" wrapText="false" indent="0" shrinkToFit="false"/>
      <protection locked="true" hidden="false"/>
    </xf>
    <xf numFmtId="164" fontId="4" fillId="0" borderId="21" xfId="24" applyFont="true" applyBorder="true" applyAlignment="false" applyProtection="false">
      <alignment horizontal="left" vertical="bottom" textRotation="0" wrapText="false" indent="0" shrinkToFit="false"/>
      <protection locked="true" hidden="false"/>
    </xf>
    <xf numFmtId="166" fontId="4" fillId="0" borderId="22" xfId="23" applyFont="false" applyBorder="true" applyAlignment="false" applyProtection="false">
      <alignment horizontal="general" vertical="bottom" textRotation="0" wrapText="false" indent="0" shrinkToFit="false"/>
      <protection locked="true" hidden="false"/>
    </xf>
    <xf numFmtId="166" fontId="4" fillId="0" borderId="23" xfId="23" applyFont="false" applyBorder="true" applyAlignment="false" applyProtection="false">
      <alignment horizontal="general" vertical="bottom" textRotation="0" wrapText="false" indent="0" shrinkToFit="false"/>
      <protection locked="true" hidden="false"/>
    </xf>
    <xf numFmtId="166" fontId="4" fillId="0" borderId="24" xfId="23" applyFont="false" applyBorder="true" applyAlignment="false" applyProtection="false">
      <alignment horizontal="general" vertical="bottom" textRotation="0" wrapText="false" indent="0" shrinkToFit="false"/>
      <protection locked="true" hidden="false"/>
    </xf>
    <xf numFmtId="166" fontId="4" fillId="0" borderId="25" xfId="23" applyFont="false" applyBorder="true" applyAlignment="false" applyProtection="false">
      <alignment horizontal="general" vertical="bottom" textRotation="0" wrapText="false" indent="0" shrinkToFit="false"/>
      <protection locked="true" hidden="false"/>
    </xf>
    <xf numFmtId="164" fontId="0" fillId="0" borderId="26" xfId="22" applyFont="true" applyBorder="true" applyAlignment="false" applyProtection="false">
      <alignment horizontal="general" vertical="bottom" textRotation="0" wrapText="false" indent="0" shrinkToFit="false"/>
      <protection locked="true" hidden="false"/>
    </xf>
    <xf numFmtId="164" fontId="0" fillId="0" borderId="27" xfId="21" applyFont="true" applyBorder="true" applyAlignment="false" applyProtection="false">
      <alignment horizontal="general" vertical="bottom" textRotation="0" wrapText="false" indent="0" shrinkToFit="false"/>
      <protection locked="true" hidden="false"/>
    </xf>
    <xf numFmtId="164" fontId="0" fillId="0" borderId="14" xfId="25" applyFont="false" applyBorder="true" applyAlignment="false" applyProtection="false">
      <alignment horizontal="general" vertical="bottom" textRotation="0" wrapText="false" indent="0" shrinkToFit="false"/>
      <protection locked="true" hidden="false"/>
    </xf>
    <xf numFmtId="164" fontId="0" fillId="0" borderId="18" xfId="25" applyFont="false" applyBorder="true" applyAlignment="false" applyProtection="false">
      <alignment horizontal="general" vertical="bottom" textRotation="0" wrapText="false" indent="0" shrinkToFit="false"/>
      <protection locked="true" hidden="false"/>
    </xf>
    <xf numFmtId="164" fontId="0" fillId="0" borderId="20" xfId="25" applyFont="false" applyBorder="true" applyAlignment="false" applyProtection="false">
      <alignment horizontal="general" vertical="bottom" textRotation="0" wrapText="false" indent="0" shrinkToFit="false"/>
      <protection locked="true" hidden="false"/>
    </xf>
    <xf numFmtId="164" fontId="4" fillId="0" borderId="25" xfId="23"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bottom" textRotation="0" wrapText="false" indent="0" shrinkToFit="false"/>
      <protection locked="true" hidden="false"/>
    </xf>
    <xf numFmtId="164" fontId="16" fillId="4" borderId="28" xfId="0" applyFont="true" applyBorder="true" applyAlignment="true" applyProtection="false">
      <alignment horizontal="left" vertical="center" textRotation="0" wrapText="true" indent="0" shrinkToFit="false"/>
      <protection locked="true" hidden="false"/>
    </xf>
    <xf numFmtId="164" fontId="17" fillId="0" borderId="0"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left" vertical="center"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Pivot Table Category" xfId="20"/>
    <cellStyle name="Pivot Table Corner" xfId="21"/>
    <cellStyle name="Pivot Table Field" xfId="22"/>
    <cellStyle name="Pivot Table Result" xfId="23"/>
    <cellStyle name="Pivot Table Title" xfId="24"/>
    <cellStyle name="Pivot Table Value" xfId="25"/>
  </cellStyles>
  <dxfs count="3">
    <dxf>
      <fill>
        <patternFill patternType="solid">
          <fgColor rgb="FFC0392B"/>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C0392B"/>
      <rgbColor rgb="FFFDECE0"/>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E0B896"/>
      <rgbColor rgb="FF4F81BD"/>
      <rgbColor rgb="FF33CCCC"/>
      <rgbColor rgb="FF9BBB59"/>
      <rgbColor rgb="FFFFCC00"/>
      <rgbColor rgb="FFFF9900"/>
      <rgbColor rgb="FFC0522A"/>
      <rgbColor rgb="FF8064A2"/>
      <rgbColor rgb="FF969696"/>
      <rgbColor rgb="FF003366"/>
      <rgbColor rgb="FF339966"/>
      <rgbColor rgb="FF003300"/>
      <rgbColor rgb="FF333300"/>
      <rgbColor rgb="FF922B21"/>
      <rgbColor rgb="FFC0504D"/>
      <rgbColor rgb="FF59595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Relationship Id="rId9" Type="http://schemas.openxmlformats.org/officeDocument/2006/relationships/pivotCacheDefinition" Target="pivotCache/pivotCacheDefinition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id-ID" sz="1400" spc="-1" strike="noStrike">
                <a:solidFill>
                  <a:srgbClr val="595959"/>
                </a:solidFill>
                <a:latin typeface="Calibri"/>
              </a:defRPr>
            </a:pPr>
            <a:r>
              <a:rPr b="0" lang="id-ID" sz="1400" spc="-1" strike="noStrike">
                <a:solidFill>
                  <a:srgbClr val="595959"/>
                </a:solidFill>
                <a:latin typeface="Calibri"/>
              </a:rPr>
              <a:t>Total Penjualan per Cabang &amp; Kategori</a:t>
            </a:r>
          </a:p>
        </c:rich>
      </c:tx>
      <c:overlay val="0"/>
      <c:spPr>
        <a:noFill/>
        <a:ln w="0">
          <a:noFill/>
        </a:ln>
      </c:spPr>
    </c:title>
    <c:autoTitleDeleted val="0"/>
    <c:plotArea>
      <c:barChart>
        <c:barDir val="col"/>
        <c:grouping val="clustered"/>
        <c:varyColors val="0"/>
        <c:ser>
          <c:idx val="0"/>
          <c:order val="0"/>
          <c:tx>
            <c:strRef>
              <c:f>label 0</c:f>
              <c:strCache>
                <c:ptCount val="1"/>
                <c:pt idx="0">
                  <c:v>Kebutuhan Rumah</c:v>
                </c:pt>
              </c:strCache>
            </c:strRef>
          </c:tx>
          <c:spPr>
            <a:solidFill>
              <a:srgbClr val="4f81bd"/>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categories</c:f>
              <c:strCache>
                <c:ptCount val="5"/>
                <c:pt idx="0">
                  <c:v>Gemilang Tangerang BSD</c:v>
                </c:pt>
                <c:pt idx="1">
                  <c:v>Gemilang Bekasi Timur</c:v>
                </c:pt>
                <c:pt idx="2">
                  <c:v>Gemilang Depok Margonda</c:v>
                </c:pt>
                <c:pt idx="3">
                  <c:v>Gemilang Kelapa Gading</c:v>
                </c:pt>
                <c:pt idx="4">
                  <c:v>Gemilang Bogor Baru</c:v>
                </c:pt>
              </c:strCache>
            </c:strRef>
          </c:cat>
          <c:val>
            <c:numRef>
              <c:f>0</c:f>
              <c:numCache>
                <c:formatCode>#,##0</c:formatCode>
                <c:ptCount val="5"/>
                <c:pt idx="0">
                  <c:v>2445000</c:v>
                </c:pt>
                <c:pt idx="1">
                  <c:v>1765500</c:v>
                </c:pt>
                <c:pt idx="2">
                  <c:v>2821000</c:v>
                </c:pt>
                <c:pt idx="3">
                  <c:v>2767500</c:v>
                </c:pt>
                <c:pt idx="4">
                  <c:v>2012500</c:v>
                </c:pt>
              </c:numCache>
            </c:numRef>
          </c:val>
        </c:ser>
        <c:ser>
          <c:idx val="1"/>
          <c:order val="1"/>
          <c:tx>
            <c:strRef>
              <c:f>label 1</c:f>
              <c:strCache>
                <c:ptCount val="1"/>
                <c:pt idx="0">
                  <c:v>Makanan</c:v>
                </c:pt>
              </c:strCache>
            </c:strRef>
          </c:tx>
          <c:spPr>
            <a:solidFill>
              <a:srgbClr val="c0504d"/>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categories</c:f>
              <c:strCache>
                <c:ptCount val="5"/>
                <c:pt idx="0">
                  <c:v>Gemilang Tangerang BSD</c:v>
                </c:pt>
                <c:pt idx="1">
                  <c:v>Gemilang Bekasi Timur</c:v>
                </c:pt>
                <c:pt idx="2">
                  <c:v>Gemilang Depok Margonda</c:v>
                </c:pt>
                <c:pt idx="3">
                  <c:v>Gemilang Kelapa Gading</c:v>
                </c:pt>
                <c:pt idx="4">
                  <c:v>Gemilang Bogor Baru</c:v>
                </c:pt>
              </c:strCache>
            </c:strRef>
          </c:cat>
          <c:val>
            <c:numRef>
              <c:f>1</c:f>
              <c:numCache>
                <c:formatCode>#,##0</c:formatCode>
                <c:ptCount val="5"/>
                <c:pt idx="0">
                  <c:v>9527000</c:v>
                </c:pt>
                <c:pt idx="1">
                  <c:v>7615000</c:v>
                </c:pt>
                <c:pt idx="2">
                  <c:v>5771500</c:v>
                </c:pt>
                <c:pt idx="3">
                  <c:v>4383000</c:v>
                </c:pt>
                <c:pt idx="4">
                  <c:v>4378000</c:v>
                </c:pt>
              </c:numCache>
            </c:numRef>
          </c:val>
        </c:ser>
        <c:ser>
          <c:idx val="2"/>
          <c:order val="2"/>
          <c:tx>
            <c:strRef>
              <c:f>label 2</c:f>
              <c:strCache>
                <c:ptCount val="1"/>
                <c:pt idx="0">
                  <c:v>Minuman</c:v>
                </c:pt>
              </c:strCache>
            </c:strRef>
          </c:tx>
          <c:spPr>
            <a:solidFill>
              <a:srgbClr val="9bbb59"/>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categories</c:f>
              <c:strCache>
                <c:ptCount val="5"/>
                <c:pt idx="0">
                  <c:v>Gemilang Tangerang BSD</c:v>
                </c:pt>
                <c:pt idx="1">
                  <c:v>Gemilang Bekasi Timur</c:v>
                </c:pt>
                <c:pt idx="2">
                  <c:v>Gemilang Depok Margonda</c:v>
                </c:pt>
                <c:pt idx="3">
                  <c:v>Gemilang Kelapa Gading</c:v>
                </c:pt>
                <c:pt idx="4">
                  <c:v>Gemilang Bogor Baru</c:v>
                </c:pt>
              </c:strCache>
            </c:strRef>
          </c:cat>
          <c:val>
            <c:numRef>
              <c:f>2</c:f>
              <c:numCache>
                <c:formatCode>#,##0</c:formatCode>
                <c:ptCount val="5"/>
                <c:pt idx="0">
                  <c:v>1362500</c:v>
                </c:pt>
                <c:pt idx="1">
                  <c:v>1444500</c:v>
                </c:pt>
                <c:pt idx="2">
                  <c:v>1747000</c:v>
                </c:pt>
                <c:pt idx="3">
                  <c:v>674500</c:v>
                </c:pt>
                <c:pt idx="4">
                  <c:v>715000</c:v>
                </c:pt>
              </c:numCache>
            </c:numRef>
          </c:val>
        </c:ser>
        <c:ser>
          <c:idx val="3"/>
          <c:order val="3"/>
          <c:tx>
            <c:strRef>
              <c:f>label 3</c:f>
              <c:strCache>
                <c:ptCount val="1"/>
                <c:pt idx="0">
                  <c:v>Snack</c:v>
                </c:pt>
              </c:strCache>
            </c:strRef>
          </c:tx>
          <c:spPr>
            <a:solidFill>
              <a:srgbClr val="8064a2"/>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categories</c:f>
              <c:strCache>
                <c:ptCount val="5"/>
                <c:pt idx="0">
                  <c:v>Gemilang Tangerang BSD</c:v>
                </c:pt>
                <c:pt idx="1">
                  <c:v>Gemilang Bekasi Timur</c:v>
                </c:pt>
                <c:pt idx="2">
                  <c:v>Gemilang Depok Margonda</c:v>
                </c:pt>
                <c:pt idx="3">
                  <c:v>Gemilang Kelapa Gading</c:v>
                </c:pt>
                <c:pt idx="4">
                  <c:v>Gemilang Bogor Baru</c:v>
                </c:pt>
              </c:strCache>
            </c:strRef>
          </c:cat>
          <c:val>
            <c:numRef>
              <c:f>3</c:f>
              <c:numCache>
                <c:formatCode>#,##0</c:formatCode>
                <c:ptCount val="5"/>
                <c:pt idx="0">
                  <c:v>1443000</c:v>
                </c:pt>
                <c:pt idx="1">
                  <c:v>2131000</c:v>
                </c:pt>
                <c:pt idx="2">
                  <c:v>1128000</c:v>
                </c:pt>
                <c:pt idx="3">
                  <c:v>1654500</c:v>
                </c:pt>
                <c:pt idx="4">
                  <c:v>1322000</c:v>
                </c:pt>
              </c:numCache>
            </c:numRef>
          </c:val>
        </c:ser>
        <c:gapWidth val="219"/>
        <c:overlap val="-27"/>
        <c:axId val="78676067"/>
        <c:axId val="27115770"/>
      </c:barChart>
      <c:catAx>
        <c:axId val="78676067"/>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27115770"/>
        <c:crosses val="autoZero"/>
        <c:auto val="1"/>
        <c:lblAlgn val="ctr"/>
        <c:lblOffset val="100"/>
        <c:noMultiLvlLbl val="0"/>
      </c:catAx>
      <c:valAx>
        <c:axId val="27115770"/>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78676067"/>
        <c:crosses val="autoZero"/>
        <c:crossBetween val="between"/>
      </c:valAx>
      <c:spPr>
        <a:noFill/>
        <a:ln w="0">
          <a:noFill/>
        </a:ln>
      </c:spPr>
    </c:plotArea>
    <c:legend>
      <c:legendPos val="r"/>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label 0</c:f>
              <c:strCache>
                <c:ptCount val="1"/>
                <c:pt idx="0">
                  <c:v>Jan</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categories</c:f>
              <c:strCache>
                <c:ptCount val="10"/>
                <c:pt idx="0">
                  <c:v>Beras 5kg</c:v>
                </c:pt>
                <c:pt idx="1">
                  <c:v>Teh Botol</c:v>
                </c:pt>
                <c:pt idx="2">
                  <c:v>Tisu Gulung (isi 4)</c:v>
                </c:pt>
                <c:pt idx="3">
                  <c:v>Deterjen Bubuk 800g</c:v>
                </c:pt>
                <c:pt idx="4">
                  <c:v>Roti Tawar</c:v>
                </c:pt>
                <c:pt idx="5">
                  <c:v>Sabun Cuci Piring 800ml</c:v>
                </c:pt>
                <c:pt idx="6">
                  <c:v>Air Mineral 600ml</c:v>
                </c:pt>
                <c:pt idx="7">
                  <c:v>Susu UHT 1L</c:v>
                </c:pt>
                <c:pt idx="8">
                  <c:v>Mie Instan Goreng</c:v>
                </c:pt>
                <c:pt idx="9">
                  <c:v>Biskuit Kaleng</c:v>
                </c:pt>
              </c:strCache>
            </c:strRef>
          </c:cat>
          <c:val>
            <c:numRef>
              <c:f>0</c:f>
              <c:numCache>
                <c:formatCode>General</c:formatCode>
                <c:ptCount val="10"/>
                <c:pt idx="0">
                  <c:v>123</c:v>
                </c:pt>
                <c:pt idx="1">
                  <c:v>77</c:v>
                </c:pt>
                <c:pt idx="2">
                  <c:v>63</c:v>
                </c:pt>
                <c:pt idx="3">
                  <c:v>66</c:v>
                </c:pt>
                <c:pt idx="4">
                  <c:v>72</c:v>
                </c:pt>
                <c:pt idx="5">
                  <c:v>106</c:v>
                </c:pt>
                <c:pt idx="6">
                  <c:v>114</c:v>
                </c:pt>
                <c:pt idx="7">
                  <c:v>80</c:v>
                </c:pt>
                <c:pt idx="8">
                  <c:v>56</c:v>
                </c:pt>
                <c:pt idx="9">
                  <c:v>45</c:v>
                </c:pt>
              </c:numCache>
            </c:numRef>
          </c:val>
          <c:smooth val="0"/>
        </c:ser>
        <c:ser>
          <c:idx val="1"/>
          <c:order val="1"/>
          <c:tx>
            <c:strRef>
              <c:f>label 1</c:f>
              <c:strCache>
                <c:ptCount val="1"/>
                <c:pt idx="0">
                  <c:v>Feb</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categories</c:f>
              <c:strCache>
                <c:ptCount val="10"/>
                <c:pt idx="0">
                  <c:v>Beras 5kg</c:v>
                </c:pt>
                <c:pt idx="1">
                  <c:v>Teh Botol</c:v>
                </c:pt>
                <c:pt idx="2">
                  <c:v>Tisu Gulung (isi 4)</c:v>
                </c:pt>
                <c:pt idx="3">
                  <c:v>Deterjen Bubuk 800g</c:v>
                </c:pt>
                <c:pt idx="4">
                  <c:v>Roti Tawar</c:v>
                </c:pt>
                <c:pt idx="5">
                  <c:v>Sabun Cuci Piring 800ml</c:v>
                </c:pt>
                <c:pt idx="6">
                  <c:v>Air Mineral 600ml</c:v>
                </c:pt>
                <c:pt idx="7">
                  <c:v>Susu UHT 1L</c:v>
                </c:pt>
                <c:pt idx="8">
                  <c:v>Mie Instan Goreng</c:v>
                </c:pt>
                <c:pt idx="9">
                  <c:v>Biskuit Kaleng</c:v>
                </c:pt>
              </c:strCache>
            </c:strRef>
          </c:cat>
          <c:val>
            <c:numRef>
              <c:f>1</c:f>
              <c:numCache>
                <c:formatCode>General</c:formatCode>
                <c:ptCount val="10"/>
                <c:pt idx="0">
                  <c:v>149</c:v>
                </c:pt>
                <c:pt idx="1">
                  <c:v>76</c:v>
                </c:pt>
                <c:pt idx="2">
                  <c:v>59</c:v>
                </c:pt>
                <c:pt idx="3">
                  <c:v>49</c:v>
                </c:pt>
                <c:pt idx="4">
                  <c:v>44</c:v>
                </c:pt>
                <c:pt idx="5">
                  <c:v>33</c:v>
                </c:pt>
                <c:pt idx="6">
                  <c:v>56</c:v>
                </c:pt>
                <c:pt idx="7">
                  <c:v>45</c:v>
                </c:pt>
                <c:pt idx="8">
                  <c:v>40</c:v>
                </c:pt>
                <c:pt idx="9">
                  <c:v>100</c:v>
                </c:pt>
              </c:numCache>
            </c:numRef>
          </c:val>
          <c:smooth val="0"/>
        </c:ser>
        <c:ser>
          <c:idx val="2"/>
          <c:order val="2"/>
          <c:tx>
            <c:strRef>
              <c:f>label 2</c:f>
              <c:strCache>
                <c:ptCount val="1"/>
                <c:pt idx="0">
                  <c:v>Mar</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categories</c:f>
              <c:strCache>
                <c:ptCount val="10"/>
                <c:pt idx="0">
                  <c:v>Beras 5kg</c:v>
                </c:pt>
                <c:pt idx="1">
                  <c:v>Teh Botol</c:v>
                </c:pt>
                <c:pt idx="2">
                  <c:v>Tisu Gulung (isi 4)</c:v>
                </c:pt>
                <c:pt idx="3">
                  <c:v>Deterjen Bubuk 800g</c:v>
                </c:pt>
                <c:pt idx="4">
                  <c:v>Roti Tawar</c:v>
                </c:pt>
                <c:pt idx="5">
                  <c:v>Sabun Cuci Piring 800ml</c:v>
                </c:pt>
                <c:pt idx="6">
                  <c:v>Air Mineral 600ml</c:v>
                </c:pt>
                <c:pt idx="7">
                  <c:v>Susu UHT 1L</c:v>
                </c:pt>
                <c:pt idx="8">
                  <c:v>Mie Instan Goreng</c:v>
                </c:pt>
                <c:pt idx="9">
                  <c:v>Biskuit Kaleng</c:v>
                </c:pt>
              </c:strCache>
            </c:strRef>
          </c:cat>
          <c:val>
            <c:numRef>
              <c:f>2</c:f>
              <c:numCache>
                <c:formatCode>General</c:formatCode>
                <c:ptCount val="10"/>
                <c:pt idx="0">
                  <c:v>108</c:v>
                </c:pt>
                <c:pt idx="1">
                  <c:v>104</c:v>
                </c:pt>
                <c:pt idx="2">
                  <c:v>99</c:v>
                </c:pt>
                <c:pt idx="3">
                  <c:v>95</c:v>
                </c:pt>
                <c:pt idx="4">
                  <c:v>89</c:v>
                </c:pt>
                <c:pt idx="5">
                  <c:v>82</c:v>
                </c:pt>
                <c:pt idx="6">
                  <c:v>61</c:v>
                </c:pt>
                <c:pt idx="7">
                  <c:v>53</c:v>
                </c:pt>
                <c:pt idx="8">
                  <c:v>53</c:v>
                </c:pt>
                <c:pt idx="9">
                  <c:v>17</c:v>
                </c:pt>
              </c:numCache>
            </c:numRef>
          </c:val>
          <c:smooth val="0"/>
        </c:ser>
        <c:hiLowLines>
          <c:spPr>
            <a:ln w="0">
              <a:noFill/>
            </a:ln>
          </c:spPr>
        </c:hiLowLines>
        <c:marker val="0"/>
        <c:axId val="51459750"/>
        <c:axId val="33673831"/>
      </c:lineChart>
      <c:catAx>
        <c:axId val="51459750"/>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33673831"/>
        <c:crosses val="autoZero"/>
        <c:auto val="1"/>
        <c:lblAlgn val="ctr"/>
        <c:lblOffset val="100"/>
        <c:noMultiLvlLbl val="0"/>
      </c:catAx>
      <c:valAx>
        <c:axId val="33673831"/>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51459750"/>
        <c:crosses val="autoZero"/>
        <c:crossBetween val="between"/>
      </c:valAx>
      <c:spPr>
        <a:noFill/>
        <a:ln w="0">
          <a:noFill/>
        </a:ln>
      </c:spPr>
    </c:plotArea>
    <c:legend>
      <c:legendPos val="r"/>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723960</xdr:colOff>
      <xdr:row>1</xdr:row>
      <xdr:rowOff>152280</xdr:rowOff>
    </xdr:from>
    <xdr:to>
      <xdr:col>10</xdr:col>
      <xdr:colOff>684360</xdr:colOff>
      <xdr:row>16</xdr:row>
      <xdr:rowOff>150840</xdr:rowOff>
    </xdr:to>
    <xdr:graphicFrame>
      <xdr:nvGraphicFramePr>
        <xdr:cNvPr id="0" name="Chart 1"/>
        <xdr:cNvGraphicFramePr/>
      </xdr:nvGraphicFramePr>
      <xdr:xfrm>
        <a:off x="6322680" y="333360"/>
        <a:ext cx="4698720" cy="27129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7560</xdr:colOff>
      <xdr:row>1</xdr:row>
      <xdr:rowOff>167760</xdr:rowOff>
    </xdr:from>
    <xdr:to>
      <xdr:col>12</xdr:col>
      <xdr:colOff>143280</xdr:colOff>
      <xdr:row>16</xdr:row>
      <xdr:rowOff>166320</xdr:rowOff>
    </xdr:to>
    <xdr:graphicFrame>
      <xdr:nvGraphicFramePr>
        <xdr:cNvPr id="1" name="Chart 1"/>
        <xdr:cNvGraphicFramePr/>
      </xdr:nvGraphicFramePr>
      <xdr:xfrm>
        <a:off x="4652640" y="348840"/>
        <a:ext cx="4696200" cy="27129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id="rId1" recordCount="260" createdVersion="3">
  <cacheSource type="worksheet">
    <worksheetSource ref="A1:G261" sheet="Data Penjualan"/>
  </cacheSource>
  <cacheFields count="7">
    <cacheField name="Tanggal" numFmtId="0">
      <sharedItems containsSemiMixedTypes="0" containsNonDate="0" containsDate="1" containsString="0" minDate="2025-01-01T00:00:00" maxDate="2025-03-31T00:00:00" count="83">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2T00:00:00"/>
        <d v="2025-02-03T00:00:00"/>
        <d v="2025-02-04T00:00:00"/>
        <d v="2025-02-05T00:00:00"/>
        <d v="2025-02-06T00:00:00"/>
        <d v="2025-02-07T00:00:00"/>
        <d v="2025-02-08T00:00:00"/>
        <d v="2025-02-09T00:00:00"/>
        <d v="2025-02-10T00:00:00"/>
        <d v="2025-02-12T00:00:00"/>
        <d v="2025-02-13T00:00:00"/>
        <d v="2025-02-14T00:00:00"/>
        <d v="2025-02-15T00:00:00"/>
        <d v="2025-02-16T00:00:00"/>
        <d v="2025-02-17T00:00:00"/>
        <d v="2025-02-18T00:00:00"/>
        <d v="2025-02-19T00:00:00"/>
        <d v="2025-02-20T00:00:00"/>
        <d v="2025-02-21T00:00:00"/>
        <d v="2025-02-22T00:00:00"/>
        <d v="2025-02-24T00:00:00"/>
        <d v="2025-02-25T00:00:00"/>
        <d v="2025-02-27T00:00:00"/>
        <d v="2025-02-28T00:00:00"/>
        <d v="2025-03-01T00:00:00"/>
        <d v="2025-03-02T00:00:00"/>
        <d v="2025-03-03T00:00:00"/>
        <d v="2025-03-04T00:00:00"/>
        <d v="2025-03-05T00:00:00"/>
        <d v="2025-03-06T00:00:00"/>
        <d v="2025-03-07T00:00:00"/>
        <d v="2025-03-09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9T00:00:00"/>
        <d v="2025-03-30T00:00:00"/>
        <d v="2025-03-31T00:00:00"/>
      </sharedItems>
    </cacheField>
    <cacheField name="Cabang" numFmtId="0">
      <sharedItems count="5">
        <s v="Gemilang Bekasi Timur"/>
        <s v="Gemilang Bogor Baru"/>
        <s v="Gemilang Depok Margonda"/>
        <s v="Gemilang Kelapa Gading"/>
        <s v="Gemilang Tangerang BSD"/>
      </sharedItems>
    </cacheField>
    <cacheField name="Kategori" numFmtId="0">
      <sharedItems count="4">
        <s v="Kebutuhan Rumah"/>
        <s v="Makanan"/>
        <s v="Minuman"/>
        <s v="Snack"/>
      </sharedItems>
    </cacheField>
    <cacheField name="Produk" numFmtId="0">
      <sharedItems count="16">
        <s v="Air Mineral 600ml"/>
        <s v="Beras 5kg"/>
        <s v="Biskuit Kaleng"/>
        <s v="Coklat Batang"/>
        <s v="Deterjen Bubuk 800g"/>
        <s v="Kacang Kulit 250g"/>
        <s v="Keripik Kentang"/>
        <s v="Kopi Sachet (renceng)"/>
        <s v="Mie Instan Goreng"/>
        <s v="Roti Tawar"/>
        <s v="Sabun Cuci Piring 800ml"/>
        <s v="Sabun Mandi Batang"/>
        <s v="Susu UHT 1L"/>
        <s v="Teh Botol"/>
        <s v="Telur Ayam 1kg"/>
        <s v="Tisu Gulung (isi 4)"/>
      </sharedItems>
    </cacheField>
    <cacheField name="Qty" numFmtId="0">
      <sharedItems containsSemiMixedTypes="0" containsString="0" containsNumber="1" containsInteger="1" minValue="1" maxValue="20" count="20">
        <n v="1"/>
        <n v="2"/>
        <n v="3"/>
        <n v="4"/>
        <n v="5"/>
        <n v="6"/>
        <n v="7"/>
        <n v="8"/>
        <n v="9"/>
        <n v="10"/>
        <n v="11"/>
        <n v="12"/>
        <n v="13"/>
        <n v="14"/>
        <n v="15"/>
        <n v="16"/>
        <n v="17"/>
        <n v="18"/>
        <n v="19"/>
        <n v="20"/>
      </sharedItems>
    </cacheField>
    <cacheField name="Harga Satuan" numFmtId="0">
      <sharedItems containsSemiMixedTypes="0" containsString="0" containsNumber="1" containsInteger="1" minValue="3000" maxValue="68000" count="53">
        <n v="3000"/>
        <n v="3500"/>
        <n v="4000"/>
        <n v="4500"/>
        <n v="5000"/>
        <n v="8000"/>
        <n v="8500"/>
        <n v="9000"/>
        <n v="9500"/>
        <n v="10000"/>
        <n v="10500"/>
        <n v="11000"/>
        <n v="12000"/>
        <n v="12500"/>
        <n v="13000"/>
        <n v="13500"/>
        <n v="14000"/>
        <n v="14500"/>
        <n v="15000"/>
        <n v="15500"/>
        <n v="16000"/>
        <n v="16500"/>
        <n v="17000"/>
        <n v="17500"/>
        <n v="18000"/>
        <n v="18500"/>
        <n v="19000"/>
        <n v="19500"/>
        <n v="20000"/>
        <n v="20500"/>
        <n v="21000"/>
        <n v="21500"/>
        <n v="22000"/>
        <n v="25000"/>
        <n v="26500"/>
        <n v="27000"/>
        <n v="27500"/>
        <n v="28000"/>
        <n v="28500"/>
        <n v="29000"/>
        <n v="29500"/>
        <n v="30000"/>
        <n v="62000"/>
        <n v="63000"/>
        <n v="63500"/>
        <n v="64000"/>
        <n v="64500"/>
        <n v="65500"/>
        <n v="66000"/>
        <n v="66500"/>
        <n v="67000"/>
        <n v="67500"/>
        <n v="68000"/>
      </sharedItems>
    </cacheField>
    <cacheField name="Total Penjualan" numFmtId="0">
      <sharedItems containsSemiMixedTypes="0" containsString="0" containsNumber="1" containsInteger="1" minValue="3000" maxValue="1350000" count="185">
        <n v="3000"/>
        <n v="4000"/>
        <n v="4500"/>
        <n v="7000"/>
        <n v="8500"/>
        <n v="10500"/>
        <n v="12000"/>
        <n v="13500"/>
        <n v="14000"/>
        <n v="16000"/>
        <n v="17500"/>
        <n v="18000"/>
        <n v="20000"/>
        <n v="22000"/>
        <n v="22500"/>
        <n v="24000"/>
        <n v="24500"/>
        <n v="25000"/>
        <n v="26000"/>
        <n v="27000"/>
        <n v="28000"/>
        <n v="28500"/>
        <n v="29000"/>
        <n v="29500"/>
        <n v="30000"/>
        <n v="32000"/>
        <n v="34000"/>
        <n v="35000"/>
        <n v="39000"/>
        <n v="40000"/>
        <n v="42000"/>
        <n v="44000"/>
        <n v="45000"/>
        <n v="45500"/>
        <n v="46500"/>
        <n v="48000"/>
        <n v="49000"/>
        <n v="49500"/>
        <n v="50000"/>
        <n v="51000"/>
        <n v="52500"/>
        <n v="54000"/>
        <n v="56000"/>
        <n v="58500"/>
        <n v="59500"/>
        <n v="60000"/>
        <n v="63000"/>
        <n v="67500"/>
        <n v="68000"/>
        <n v="70000"/>
        <n v="72000"/>
        <n v="74000"/>
        <n v="75000"/>
        <n v="78000"/>
        <n v="80000"/>
        <n v="81000"/>
        <n v="82500"/>
        <n v="84000"/>
        <n v="85000"/>
        <n v="87000"/>
        <n v="88000"/>
        <n v="90000"/>
        <n v="95000"/>
        <n v="100000"/>
        <n v="104000"/>
        <n v="105000"/>
        <n v="106000"/>
        <n v="107500"/>
        <n v="108000"/>
        <n v="110000"/>
        <n v="110500"/>
        <n v="112000"/>
        <n v="112500"/>
        <n v="114000"/>
        <n v="115500"/>
        <n v="117000"/>
        <n v="119000"/>
        <n v="120000"/>
        <n v="123500"/>
        <n v="124000"/>
        <n v="126000"/>
        <n v="129000"/>
        <n v="129500"/>
        <n v="132000"/>
        <n v="135000"/>
        <n v="136000"/>
        <n v="136500"/>
        <n v="139500"/>
        <n v="140000"/>
        <n v="144000"/>
        <n v="144500"/>
        <n v="150000"/>
        <n v="153000"/>
        <n v="160000"/>
        <n v="168000"/>
        <n v="169000"/>
        <n v="170500"/>
        <n v="171000"/>
        <n v="175000"/>
        <n v="175500"/>
        <n v="177000"/>
        <n v="180000"/>
        <n v="182000"/>
        <n v="187000"/>
        <n v="192500"/>
        <n v="195000"/>
        <n v="199500"/>
        <n v="203000"/>
        <n v="208000"/>
        <n v="209000"/>
        <n v="210000"/>
        <n v="214500"/>
        <n v="216000"/>
        <n v="221000"/>
        <n v="222000"/>
        <n v="224000"/>
        <n v="225500"/>
        <n v="227500"/>
        <n v="234000"/>
        <n v="238000"/>
        <n v="240000"/>
        <n v="247000"/>
        <n v="247500"/>
        <n v="248000"/>
        <n v="252000"/>
        <n v="256000"/>
        <n v="256500"/>
        <n v="260000"/>
        <n v="262000"/>
        <n v="263500"/>
        <n v="264000"/>
        <n v="266000"/>
        <n v="270000"/>
        <n v="272000"/>
        <n v="273000"/>
        <n v="279000"/>
        <n v="280000"/>
        <n v="289000"/>
        <n v="297000"/>
        <n v="300000"/>
        <n v="308000"/>
        <n v="315000"/>
        <n v="320000"/>
        <n v="325000"/>
        <n v="330000"/>
        <n v="331500"/>
        <n v="333000"/>
        <n v="340000"/>
        <n v="348500"/>
        <n v="360000"/>
        <n v="364000"/>
        <n v="406000"/>
        <n v="440000"/>
        <n v="441000"/>
        <n v="448000"/>
        <n v="450500"/>
        <n v="456000"/>
        <n v="467500"/>
        <n v="469000"/>
        <n v="513000"/>
        <n v="570000"/>
        <n v="580000"/>
        <n v="589500"/>
        <n v="635000"/>
        <n v="660000"/>
        <n v="670000"/>
        <n v="709500"/>
        <n v="731500"/>
        <n v="756000"/>
        <n v="816000"/>
        <n v="864500"/>
        <n v="882000"/>
        <n v="889000"/>
        <n v="930000"/>
        <n v="938000"/>
        <n v="945000"/>
        <n v="967500"/>
        <n v="997500"/>
        <n v="1016000"/>
        <n v="1079500"/>
        <n v="1122000"/>
        <n v="1206000"/>
        <n v="1224000"/>
        <n v="1240000"/>
        <n v="1350000"/>
      </sharedItems>
    </cacheField>
  </cacheFields>
</pivotCacheDefinition>
</file>

<file path=xl/pivotCache/pivotCacheRecords1.xml><?xml version="1.0" encoding="utf-8"?>
<pivotCacheRecords xmlns="http://schemas.openxmlformats.org/spreadsheetml/2006/main" xmlns:r="http://schemas.openxmlformats.org/officeDocument/2006/relationships" count="260">
  <r>
    <x v="0"/>
    <x v="4"/>
    <x v="1"/>
    <x v="9"/>
    <x v="19"/>
    <x v="16"/>
    <x v="136"/>
  </r>
  <r>
    <x v="0"/>
    <x v="3"/>
    <x v="2"/>
    <x v="12"/>
    <x v="15"/>
    <x v="22"/>
    <x v="133"/>
  </r>
  <r>
    <x v="1"/>
    <x v="0"/>
    <x v="0"/>
    <x v="4"/>
    <x v="16"/>
    <x v="29"/>
    <x v="148"/>
  </r>
  <r>
    <x v="2"/>
    <x v="0"/>
    <x v="1"/>
    <x v="8"/>
    <x v="14"/>
    <x v="0"/>
    <x v="32"/>
  </r>
  <r>
    <x v="2"/>
    <x v="4"/>
    <x v="0"/>
    <x v="10"/>
    <x v="2"/>
    <x v="19"/>
    <x v="34"/>
  </r>
  <r>
    <x v="2"/>
    <x v="4"/>
    <x v="2"/>
    <x v="0"/>
    <x v="15"/>
    <x v="1"/>
    <x v="42"/>
  </r>
  <r>
    <x v="2"/>
    <x v="1"/>
    <x v="1"/>
    <x v="14"/>
    <x v="19"/>
    <x v="38"/>
    <x v="160"/>
  </r>
  <r>
    <x v="3"/>
    <x v="2"/>
    <x v="2"/>
    <x v="12"/>
    <x v="14"/>
    <x v="24"/>
    <x v="132"/>
  </r>
  <r>
    <x v="3"/>
    <x v="3"/>
    <x v="2"/>
    <x v="0"/>
    <x v="17"/>
    <x v="1"/>
    <x v="46"/>
  </r>
  <r>
    <x v="3"/>
    <x v="0"/>
    <x v="2"/>
    <x v="12"/>
    <x v="19"/>
    <x v="22"/>
    <x v="147"/>
  </r>
  <r>
    <x v="4"/>
    <x v="2"/>
    <x v="0"/>
    <x v="11"/>
    <x v="11"/>
    <x v="4"/>
    <x v="45"/>
  </r>
  <r>
    <x v="4"/>
    <x v="4"/>
    <x v="2"/>
    <x v="13"/>
    <x v="2"/>
    <x v="3"/>
    <x v="7"/>
  </r>
  <r>
    <x v="4"/>
    <x v="4"/>
    <x v="2"/>
    <x v="12"/>
    <x v="19"/>
    <x v="24"/>
    <x v="149"/>
  </r>
  <r>
    <x v="4"/>
    <x v="2"/>
    <x v="3"/>
    <x v="6"/>
    <x v="16"/>
    <x v="5"/>
    <x v="85"/>
  </r>
  <r>
    <x v="4"/>
    <x v="0"/>
    <x v="0"/>
    <x v="10"/>
    <x v="6"/>
    <x v="20"/>
    <x v="71"/>
  </r>
  <r>
    <x v="5"/>
    <x v="2"/>
    <x v="2"/>
    <x v="0"/>
    <x v="11"/>
    <x v="2"/>
    <x v="35"/>
  </r>
  <r>
    <x v="5"/>
    <x v="4"/>
    <x v="0"/>
    <x v="4"/>
    <x v="2"/>
    <x v="24"/>
    <x v="41"/>
  </r>
  <r>
    <x v="5"/>
    <x v="0"/>
    <x v="2"/>
    <x v="0"/>
    <x v="16"/>
    <x v="1"/>
    <x v="44"/>
  </r>
  <r>
    <x v="5"/>
    <x v="0"/>
    <x v="2"/>
    <x v="12"/>
    <x v="6"/>
    <x v="27"/>
    <x v="86"/>
  </r>
  <r>
    <x v="5"/>
    <x v="1"/>
    <x v="1"/>
    <x v="14"/>
    <x v="0"/>
    <x v="40"/>
    <x v="23"/>
  </r>
  <r>
    <x v="6"/>
    <x v="3"/>
    <x v="3"/>
    <x v="6"/>
    <x v="16"/>
    <x v="6"/>
    <x v="90"/>
  </r>
  <r>
    <x v="6"/>
    <x v="3"/>
    <x v="2"/>
    <x v="13"/>
    <x v="10"/>
    <x v="3"/>
    <x v="37"/>
  </r>
  <r>
    <x v="6"/>
    <x v="1"/>
    <x v="3"/>
    <x v="2"/>
    <x v="16"/>
    <x v="36"/>
    <x v="157"/>
  </r>
  <r>
    <x v="7"/>
    <x v="2"/>
    <x v="1"/>
    <x v="1"/>
    <x v="9"/>
    <x v="50"/>
    <x v="165"/>
  </r>
  <r>
    <x v="7"/>
    <x v="3"/>
    <x v="1"/>
    <x v="9"/>
    <x v="14"/>
    <x v="16"/>
    <x v="110"/>
  </r>
  <r>
    <x v="7"/>
    <x v="0"/>
    <x v="3"/>
    <x v="3"/>
    <x v="12"/>
    <x v="16"/>
    <x v="102"/>
  </r>
  <r>
    <x v="8"/>
    <x v="0"/>
    <x v="1"/>
    <x v="1"/>
    <x v="14"/>
    <x v="42"/>
    <x v="173"/>
  </r>
  <r>
    <x v="9"/>
    <x v="4"/>
    <x v="1"/>
    <x v="1"/>
    <x v="11"/>
    <x v="52"/>
    <x v="169"/>
  </r>
  <r>
    <x v="10"/>
    <x v="4"/>
    <x v="1"/>
    <x v="1"/>
    <x v="11"/>
    <x v="43"/>
    <x v="168"/>
  </r>
  <r>
    <x v="11"/>
    <x v="2"/>
    <x v="2"/>
    <x v="0"/>
    <x v="1"/>
    <x v="1"/>
    <x v="3"/>
  </r>
  <r>
    <x v="12"/>
    <x v="0"/>
    <x v="3"/>
    <x v="3"/>
    <x v="1"/>
    <x v="14"/>
    <x v="18"/>
  </r>
  <r>
    <x v="12"/>
    <x v="1"/>
    <x v="3"/>
    <x v="6"/>
    <x v="9"/>
    <x v="6"/>
    <x v="58"/>
  </r>
  <r>
    <x v="13"/>
    <x v="3"/>
    <x v="1"/>
    <x v="14"/>
    <x v="19"/>
    <x v="39"/>
    <x v="161"/>
  </r>
  <r>
    <x v="14"/>
    <x v="0"/>
    <x v="1"/>
    <x v="14"/>
    <x v="3"/>
    <x v="35"/>
    <x v="68"/>
  </r>
  <r>
    <x v="14"/>
    <x v="2"/>
    <x v="1"/>
    <x v="14"/>
    <x v="4"/>
    <x v="37"/>
    <x v="88"/>
  </r>
  <r>
    <x v="15"/>
    <x v="2"/>
    <x v="1"/>
    <x v="1"/>
    <x v="9"/>
    <x v="44"/>
    <x v="163"/>
  </r>
  <r>
    <x v="16"/>
    <x v="2"/>
    <x v="3"/>
    <x v="5"/>
    <x v="9"/>
    <x v="9"/>
    <x v="63"/>
  </r>
  <r>
    <x v="16"/>
    <x v="4"/>
    <x v="0"/>
    <x v="11"/>
    <x v="14"/>
    <x v="3"/>
    <x v="47"/>
  </r>
  <r>
    <x v="17"/>
    <x v="1"/>
    <x v="0"/>
    <x v="11"/>
    <x v="11"/>
    <x v="2"/>
    <x v="35"/>
  </r>
  <r>
    <x v="17"/>
    <x v="0"/>
    <x v="2"/>
    <x v="0"/>
    <x v="3"/>
    <x v="1"/>
    <x v="8"/>
  </r>
  <r>
    <x v="17"/>
    <x v="1"/>
    <x v="3"/>
    <x v="3"/>
    <x v="5"/>
    <x v="13"/>
    <x v="52"/>
  </r>
  <r>
    <x v="17"/>
    <x v="3"/>
    <x v="1"/>
    <x v="1"/>
    <x v="6"/>
    <x v="43"/>
    <x v="153"/>
  </r>
  <r>
    <x v="18"/>
    <x v="2"/>
    <x v="1"/>
    <x v="1"/>
    <x v="6"/>
    <x v="50"/>
    <x v="158"/>
  </r>
  <r>
    <x v="18"/>
    <x v="2"/>
    <x v="1"/>
    <x v="1"/>
    <x v="13"/>
    <x v="51"/>
    <x v="175"/>
  </r>
  <r>
    <x v="18"/>
    <x v="2"/>
    <x v="0"/>
    <x v="10"/>
    <x v="14"/>
    <x v="21"/>
    <x v="122"/>
  </r>
  <r>
    <x v="18"/>
    <x v="2"/>
    <x v="3"/>
    <x v="2"/>
    <x v="2"/>
    <x v="35"/>
    <x v="55"/>
  </r>
  <r>
    <x v="18"/>
    <x v="0"/>
    <x v="0"/>
    <x v="15"/>
    <x v="8"/>
    <x v="22"/>
    <x v="92"/>
  </r>
  <r>
    <x v="18"/>
    <x v="3"/>
    <x v="0"/>
    <x v="10"/>
    <x v="13"/>
    <x v="17"/>
    <x v="107"/>
  </r>
  <r>
    <x v="18"/>
    <x v="1"/>
    <x v="1"/>
    <x v="1"/>
    <x v="3"/>
    <x v="47"/>
    <x v="128"/>
  </r>
  <r>
    <x v="18"/>
    <x v="2"/>
    <x v="1"/>
    <x v="9"/>
    <x v="5"/>
    <x v="13"/>
    <x v="52"/>
  </r>
  <r>
    <x v="19"/>
    <x v="2"/>
    <x v="0"/>
    <x v="10"/>
    <x v="15"/>
    <x v="20"/>
    <x v="125"/>
  </r>
  <r>
    <x v="19"/>
    <x v="2"/>
    <x v="3"/>
    <x v="5"/>
    <x v="3"/>
    <x v="11"/>
    <x v="31"/>
  </r>
  <r>
    <x v="19"/>
    <x v="3"/>
    <x v="0"/>
    <x v="10"/>
    <x v="10"/>
    <x v="19"/>
    <x v="96"/>
  </r>
  <r>
    <x v="19"/>
    <x v="2"/>
    <x v="2"/>
    <x v="7"/>
    <x v="9"/>
    <x v="11"/>
    <x v="69"/>
  </r>
  <r>
    <x v="19"/>
    <x v="0"/>
    <x v="1"/>
    <x v="1"/>
    <x v="10"/>
    <x v="46"/>
    <x v="166"/>
  </r>
  <r>
    <x v="19"/>
    <x v="3"/>
    <x v="2"/>
    <x v="13"/>
    <x v="17"/>
    <x v="2"/>
    <x v="50"/>
  </r>
  <r>
    <x v="19"/>
    <x v="2"/>
    <x v="3"/>
    <x v="5"/>
    <x v="8"/>
    <x v="7"/>
    <x v="55"/>
  </r>
  <r>
    <x v="19"/>
    <x v="1"/>
    <x v="1"/>
    <x v="8"/>
    <x v="14"/>
    <x v="0"/>
    <x v="32"/>
  </r>
  <r>
    <x v="19"/>
    <x v="1"/>
    <x v="0"/>
    <x v="10"/>
    <x v="7"/>
    <x v="21"/>
    <x v="83"/>
  </r>
  <r>
    <x v="19"/>
    <x v="2"/>
    <x v="0"/>
    <x v="11"/>
    <x v="4"/>
    <x v="4"/>
    <x v="17"/>
  </r>
  <r>
    <x v="20"/>
    <x v="1"/>
    <x v="3"/>
    <x v="5"/>
    <x v="4"/>
    <x v="10"/>
    <x v="40"/>
  </r>
  <r>
    <x v="20"/>
    <x v="3"/>
    <x v="0"/>
    <x v="15"/>
    <x v="12"/>
    <x v="23"/>
    <x v="117"/>
  </r>
  <r>
    <x v="20"/>
    <x v="3"/>
    <x v="1"/>
    <x v="9"/>
    <x v="17"/>
    <x v="14"/>
    <x v="118"/>
  </r>
  <r>
    <x v="20"/>
    <x v="3"/>
    <x v="2"/>
    <x v="13"/>
    <x v="10"/>
    <x v="2"/>
    <x v="31"/>
  </r>
  <r>
    <x v="20"/>
    <x v="4"/>
    <x v="2"/>
    <x v="0"/>
    <x v="8"/>
    <x v="0"/>
    <x v="19"/>
  </r>
  <r>
    <x v="20"/>
    <x v="4"/>
    <x v="0"/>
    <x v="10"/>
    <x v="16"/>
    <x v="22"/>
    <x v="137"/>
  </r>
  <r>
    <x v="21"/>
    <x v="4"/>
    <x v="0"/>
    <x v="15"/>
    <x v="6"/>
    <x v="21"/>
    <x v="74"/>
  </r>
  <r>
    <x v="21"/>
    <x v="4"/>
    <x v="2"/>
    <x v="7"/>
    <x v="18"/>
    <x v="11"/>
    <x v="109"/>
  </r>
  <r>
    <x v="21"/>
    <x v="4"/>
    <x v="1"/>
    <x v="1"/>
    <x v="6"/>
    <x v="45"/>
    <x v="154"/>
  </r>
  <r>
    <x v="21"/>
    <x v="2"/>
    <x v="2"/>
    <x v="0"/>
    <x v="0"/>
    <x v="0"/>
    <x v="0"/>
  </r>
  <r>
    <x v="21"/>
    <x v="1"/>
    <x v="2"/>
    <x v="0"/>
    <x v="9"/>
    <x v="0"/>
    <x v="24"/>
  </r>
  <r>
    <x v="22"/>
    <x v="3"/>
    <x v="3"/>
    <x v="5"/>
    <x v="3"/>
    <x v="10"/>
    <x v="30"/>
  </r>
  <r>
    <x v="22"/>
    <x v="2"/>
    <x v="2"/>
    <x v="13"/>
    <x v="19"/>
    <x v="3"/>
    <x v="61"/>
  </r>
  <r>
    <x v="22"/>
    <x v="1"/>
    <x v="1"/>
    <x v="9"/>
    <x v="12"/>
    <x v="14"/>
    <x v="95"/>
  </r>
  <r>
    <x v="23"/>
    <x v="3"/>
    <x v="0"/>
    <x v="4"/>
    <x v="6"/>
    <x v="25"/>
    <x v="82"/>
  </r>
  <r>
    <x v="23"/>
    <x v="3"/>
    <x v="0"/>
    <x v="4"/>
    <x v="3"/>
    <x v="25"/>
    <x v="51"/>
  </r>
  <r>
    <x v="23"/>
    <x v="1"/>
    <x v="0"/>
    <x v="4"/>
    <x v="16"/>
    <x v="27"/>
    <x v="145"/>
  </r>
  <r>
    <x v="23"/>
    <x v="1"/>
    <x v="3"/>
    <x v="2"/>
    <x v="2"/>
    <x v="35"/>
    <x v="55"/>
  </r>
  <r>
    <x v="24"/>
    <x v="4"/>
    <x v="2"/>
    <x v="13"/>
    <x v="13"/>
    <x v="4"/>
    <x v="49"/>
  </r>
  <r>
    <x v="25"/>
    <x v="2"/>
    <x v="1"/>
    <x v="1"/>
    <x v="13"/>
    <x v="50"/>
    <x v="174"/>
  </r>
  <r>
    <x v="25"/>
    <x v="2"/>
    <x v="0"/>
    <x v="4"/>
    <x v="17"/>
    <x v="25"/>
    <x v="146"/>
  </r>
  <r>
    <x v="25"/>
    <x v="4"/>
    <x v="2"/>
    <x v="12"/>
    <x v="1"/>
    <x v="27"/>
    <x v="28"/>
  </r>
  <r>
    <x v="25"/>
    <x v="3"/>
    <x v="0"/>
    <x v="15"/>
    <x v="10"/>
    <x v="22"/>
    <x v="103"/>
  </r>
  <r>
    <x v="25"/>
    <x v="2"/>
    <x v="0"/>
    <x v="15"/>
    <x v="4"/>
    <x v="18"/>
    <x v="52"/>
  </r>
  <r>
    <x v="26"/>
    <x v="1"/>
    <x v="1"/>
    <x v="8"/>
    <x v="17"/>
    <x v="1"/>
    <x v="46"/>
  </r>
  <r>
    <x v="26"/>
    <x v="4"/>
    <x v="3"/>
    <x v="6"/>
    <x v="5"/>
    <x v="7"/>
    <x v="41"/>
  </r>
  <r>
    <x v="26"/>
    <x v="0"/>
    <x v="1"/>
    <x v="8"/>
    <x v="7"/>
    <x v="0"/>
    <x v="15"/>
  </r>
  <r>
    <x v="26"/>
    <x v="1"/>
    <x v="2"/>
    <x v="0"/>
    <x v="17"/>
    <x v="2"/>
    <x v="50"/>
  </r>
  <r>
    <x v="27"/>
    <x v="4"/>
    <x v="3"/>
    <x v="2"/>
    <x v="15"/>
    <x v="38"/>
    <x v="156"/>
  </r>
  <r>
    <x v="27"/>
    <x v="3"/>
    <x v="3"/>
    <x v="3"/>
    <x v="6"/>
    <x v="12"/>
    <x v="57"/>
  </r>
  <r>
    <x v="28"/>
    <x v="3"/>
    <x v="1"/>
    <x v="14"/>
    <x v="7"/>
    <x v="35"/>
    <x v="112"/>
  </r>
  <r>
    <x v="28"/>
    <x v="4"/>
    <x v="0"/>
    <x v="15"/>
    <x v="17"/>
    <x v="18"/>
    <x v="132"/>
  </r>
  <r>
    <x v="29"/>
    <x v="3"/>
    <x v="0"/>
    <x v="10"/>
    <x v="14"/>
    <x v="20"/>
    <x v="120"/>
  </r>
  <r>
    <x v="29"/>
    <x v="0"/>
    <x v="3"/>
    <x v="2"/>
    <x v="5"/>
    <x v="33"/>
    <x v="91"/>
  </r>
  <r>
    <x v="30"/>
    <x v="3"/>
    <x v="2"/>
    <x v="0"/>
    <x v="6"/>
    <x v="1"/>
    <x v="16"/>
  </r>
  <r>
    <x v="31"/>
    <x v="4"/>
    <x v="2"/>
    <x v="13"/>
    <x v="16"/>
    <x v="4"/>
    <x v="58"/>
  </r>
  <r>
    <x v="31"/>
    <x v="4"/>
    <x v="3"/>
    <x v="2"/>
    <x v="10"/>
    <x v="35"/>
    <x v="138"/>
  </r>
  <r>
    <x v="31"/>
    <x v="4"/>
    <x v="3"/>
    <x v="3"/>
    <x v="11"/>
    <x v="18"/>
    <x v="101"/>
  </r>
  <r>
    <x v="31"/>
    <x v="3"/>
    <x v="1"/>
    <x v="1"/>
    <x v="2"/>
    <x v="49"/>
    <x v="106"/>
  </r>
  <r>
    <x v="31"/>
    <x v="2"/>
    <x v="3"/>
    <x v="5"/>
    <x v="1"/>
    <x v="11"/>
    <x v="13"/>
  </r>
  <r>
    <x v="31"/>
    <x v="3"/>
    <x v="0"/>
    <x v="15"/>
    <x v="17"/>
    <x v="19"/>
    <x v="135"/>
  </r>
  <r>
    <x v="32"/>
    <x v="4"/>
    <x v="0"/>
    <x v="15"/>
    <x v="16"/>
    <x v="19"/>
    <x v="129"/>
  </r>
  <r>
    <x v="32"/>
    <x v="1"/>
    <x v="2"/>
    <x v="12"/>
    <x v="0"/>
    <x v="23"/>
    <x v="10"/>
  </r>
  <r>
    <x v="32"/>
    <x v="0"/>
    <x v="2"/>
    <x v="13"/>
    <x v="10"/>
    <x v="2"/>
    <x v="31"/>
  </r>
  <r>
    <x v="32"/>
    <x v="2"/>
    <x v="0"/>
    <x v="4"/>
    <x v="12"/>
    <x v="30"/>
    <x v="134"/>
  </r>
  <r>
    <x v="32"/>
    <x v="1"/>
    <x v="0"/>
    <x v="4"/>
    <x v="10"/>
    <x v="29"/>
    <x v="116"/>
  </r>
  <r>
    <x v="33"/>
    <x v="3"/>
    <x v="3"/>
    <x v="3"/>
    <x v="5"/>
    <x v="14"/>
    <x v="53"/>
  </r>
  <r>
    <x v="34"/>
    <x v="1"/>
    <x v="0"/>
    <x v="10"/>
    <x v="7"/>
    <x v="19"/>
    <x v="79"/>
  </r>
  <r>
    <x v="34"/>
    <x v="3"/>
    <x v="2"/>
    <x v="0"/>
    <x v="12"/>
    <x v="1"/>
    <x v="33"/>
  </r>
  <r>
    <x v="34"/>
    <x v="0"/>
    <x v="2"/>
    <x v="13"/>
    <x v="4"/>
    <x v="2"/>
    <x v="12"/>
  </r>
  <r>
    <x v="35"/>
    <x v="4"/>
    <x v="1"/>
    <x v="8"/>
    <x v="2"/>
    <x v="1"/>
    <x v="5"/>
  </r>
  <r>
    <x v="35"/>
    <x v="3"/>
    <x v="3"/>
    <x v="2"/>
    <x v="4"/>
    <x v="37"/>
    <x v="88"/>
  </r>
  <r>
    <x v="36"/>
    <x v="2"/>
    <x v="0"/>
    <x v="10"/>
    <x v="15"/>
    <x v="18"/>
    <x v="120"/>
  </r>
  <r>
    <x v="36"/>
    <x v="1"/>
    <x v="2"/>
    <x v="0"/>
    <x v="10"/>
    <x v="2"/>
    <x v="31"/>
  </r>
  <r>
    <x v="36"/>
    <x v="3"/>
    <x v="2"/>
    <x v="7"/>
    <x v="7"/>
    <x v="11"/>
    <x v="60"/>
  </r>
  <r>
    <x v="36"/>
    <x v="4"/>
    <x v="0"/>
    <x v="4"/>
    <x v="12"/>
    <x v="28"/>
    <x v="127"/>
  </r>
  <r>
    <x v="36"/>
    <x v="2"/>
    <x v="2"/>
    <x v="13"/>
    <x v="8"/>
    <x v="4"/>
    <x v="32"/>
  </r>
  <r>
    <x v="37"/>
    <x v="0"/>
    <x v="2"/>
    <x v="13"/>
    <x v="4"/>
    <x v="3"/>
    <x v="14"/>
  </r>
  <r>
    <x v="37"/>
    <x v="0"/>
    <x v="1"/>
    <x v="14"/>
    <x v="6"/>
    <x v="36"/>
    <x v="104"/>
  </r>
  <r>
    <x v="37"/>
    <x v="4"/>
    <x v="2"/>
    <x v="0"/>
    <x v="14"/>
    <x v="2"/>
    <x v="45"/>
  </r>
  <r>
    <x v="37"/>
    <x v="4"/>
    <x v="1"/>
    <x v="9"/>
    <x v="5"/>
    <x v="13"/>
    <x v="52"/>
  </r>
  <r>
    <x v="37"/>
    <x v="1"/>
    <x v="3"/>
    <x v="6"/>
    <x v="0"/>
    <x v="6"/>
    <x v="4"/>
  </r>
  <r>
    <x v="37"/>
    <x v="2"/>
    <x v="2"/>
    <x v="12"/>
    <x v="16"/>
    <x v="28"/>
    <x v="147"/>
  </r>
  <r>
    <x v="38"/>
    <x v="0"/>
    <x v="1"/>
    <x v="9"/>
    <x v="5"/>
    <x v="12"/>
    <x v="50"/>
  </r>
  <r>
    <x v="38"/>
    <x v="0"/>
    <x v="3"/>
    <x v="2"/>
    <x v="12"/>
    <x v="33"/>
    <x v="143"/>
  </r>
  <r>
    <x v="38"/>
    <x v="1"/>
    <x v="1"/>
    <x v="1"/>
    <x v="13"/>
    <x v="43"/>
    <x v="171"/>
  </r>
  <r>
    <x v="38"/>
    <x v="2"/>
    <x v="1"/>
    <x v="14"/>
    <x v="3"/>
    <x v="38"/>
    <x v="73"/>
  </r>
  <r>
    <x v="39"/>
    <x v="1"/>
    <x v="1"/>
    <x v="9"/>
    <x v="5"/>
    <x v="17"/>
    <x v="59"/>
  </r>
  <r>
    <x v="39"/>
    <x v="4"/>
    <x v="1"/>
    <x v="1"/>
    <x v="19"/>
    <x v="42"/>
    <x v="183"/>
  </r>
  <r>
    <x v="40"/>
    <x v="3"/>
    <x v="3"/>
    <x v="2"/>
    <x v="4"/>
    <x v="41"/>
    <x v="91"/>
  </r>
  <r>
    <x v="40"/>
    <x v="4"/>
    <x v="2"/>
    <x v="7"/>
    <x v="4"/>
    <x v="9"/>
    <x v="38"/>
  </r>
  <r>
    <x v="41"/>
    <x v="0"/>
    <x v="2"/>
    <x v="12"/>
    <x v="8"/>
    <x v="22"/>
    <x v="92"/>
  </r>
  <r>
    <x v="41"/>
    <x v="3"/>
    <x v="2"/>
    <x v="13"/>
    <x v="3"/>
    <x v="2"/>
    <x v="9"/>
  </r>
  <r>
    <x v="41"/>
    <x v="3"/>
    <x v="1"/>
    <x v="14"/>
    <x v="10"/>
    <x v="41"/>
    <x v="144"/>
  </r>
  <r>
    <x v="41"/>
    <x v="0"/>
    <x v="3"/>
    <x v="3"/>
    <x v="9"/>
    <x v="18"/>
    <x v="91"/>
  </r>
  <r>
    <x v="41"/>
    <x v="1"/>
    <x v="1"/>
    <x v="1"/>
    <x v="16"/>
    <x v="44"/>
    <x v="179"/>
  </r>
  <r>
    <x v="42"/>
    <x v="4"/>
    <x v="1"/>
    <x v="8"/>
    <x v="7"/>
    <x v="1"/>
    <x v="20"/>
  </r>
  <r>
    <x v="43"/>
    <x v="4"/>
    <x v="0"/>
    <x v="11"/>
    <x v="3"/>
    <x v="3"/>
    <x v="11"/>
  </r>
  <r>
    <x v="43"/>
    <x v="4"/>
    <x v="1"/>
    <x v="1"/>
    <x v="16"/>
    <x v="48"/>
    <x v="180"/>
  </r>
  <r>
    <x v="43"/>
    <x v="0"/>
    <x v="0"/>
    <x v="15"/>
    <x v="15"/>
    <x v="22"/>
    <x v="133"/>
  </r>
  <r>
    <x v="43"/>
    <x v="4"/>
    <x v="1"/>
    <x v="1"/>
    <x v="17"/>
    <x v="52"/>
    <x v="182"/>
  </r>
  <r>
    <x v="44"/>
    <x v="4"/>
    <x v="3"/>
    <x v="2"/>
    <x v="5"/>
    <x v="40"/>
    <x v="100"/>
  </r>
  <r>
    <x v="45"/>
    <x v="1"/>
    <x v="0"/>
    <x v="11"/>
    <x v="7"/>
    <x v="2"/>
    <x v="25"/>
  </r>
  <r>
    <x v="45"/>
    <x v="1"/>
    <x v="3"/>
    <x v="6"/>
    <x v="7"/>
    <x v="6"/>
    <x v="48"/>
  </r>
  <r>
    <x v="45"/>
    <x v="2"/>
    <x v="0"/>
    <x v="11"/>
    <x v="19"/>
    <x v="2"/>
    <x v="54"/>
  </r>
  <r>
    <x v="45"/>
    <x v="4"/>
    <x v="3"/>
    <x v="5"/>
    <x v="1"/>
    <x v="9"/>
    <x v="12"/>
  </r>
  <r>
    <x v="46"/>
    <x v="0"/>
    <x v="1"/>
    <x v="8"/>
    <x v="12"/>
    <x v="0"/>
    <x v="28"/>
  </r>
  <r>
    <x v="46"/>
    <x v="0"/>
    <x v="3"/>
    <x v="2"/>
    <x v="15"/>
    <x v="36"/>
    <x v="152"/>
  </r>
  <r>
    <x v="46"/>
    <x v="2"/>
    <x v="2"/>
    <x v="12"/>
    <x v="4"/>
    <x v="22"/>
    <x v="58"/>
  </r>
  <r>
    <x v="47"/>
    <x v="0"/>
    <x v="3"/>
    <x v="2"/>
    <x v="13"/>
    <x v="39"/>
    <x v="151"/>
  </r>
  <r>
    <x v="47"/>
    <x v="2"/>
    <x v="1"/>
    <x v="8"/>
    <x v="15"/>
    <x v="0"/>
    <x v="35"/>
  </r>
  <r>
    <x v="47"/>
    <x v="2"/>
    <x v="0"/>
    <x v="11"/>
    <x v="10"/>
    <x v="2"/>
    <x v="31"/>
  </r>
  <r>
    <x v="47"/>
    <x v="2"/>
    <x v="1"/>
    <x v="9"/>
    <x v="9"/>
    <x v="15"/>
    <x v="84"/>
  </r>
  <r>
    <x v="47"/>
    <x v="2"/>
    <x v="0"/>
    <x v="11"/>
    <x v="2"/>
    <x v="2"/>
    <x v="6"/>
  </r>
  <r>
    <x v="48"/>
    <x v="4"/>
    <x v="2"/>
    <x v="13"/>
    <x v="5"/>
    <x v="2"/>
    <x v="15"/>
  </r>
  <r>
    <x v="48"/>
    <x v="3"/>
    <x v="1"/>
    <x v="1"/>
    <x v="14"/>
    <x v="49"/>
    <x v="177"/>
  </r>
  <r>
    <x v="49"/>
    <x v="4"/>
    <x v="3"/>
    <x v="5"/>
    <x v="2"/>
    <x v="8"/>
    <x v="21"/>
  </r>
  <r>
    <x v="49"/>
    <x v="4"/>
    <x v="0"/>
    <x v="15"/>
    <x v="5"/>
    <x v="23"/>
    <x v="65"/>
  </r>
  <r>
    <x v="49"/>
    <x v="1"/>
    <x v="2"/>
    <x v="13"/>
    <x v="18"/>
    <x v="4"/>
    <x v="62"/>
  </r>
  <r>
    <x v="49"/>
    <x v="1"/>
    <x v="2"/>
    <x v="7"/>
    <x v="11"/>
    <x v="12"/>
    <x v="89"/>
  </r>
  <r>
    <x v="50"/>
    <x v="2"/>
    <x v="3"/>
    <x v="2"/>
    <x v="12"/>
    <x v="37"/>
    <x v="150"/>
  </r>
  <r>
    <x v="50"/>
    <x v="2"/>
    <x v="0"/>
    <x v="10"/>
    <x v="8"/>
    <x v="19"/>
    <x v="87"/>
  </r>
  <r>
    <x v="50"/>
    <x v="4"/>
    <x v="0"/>
    <x v="15"/>
    <x v="1"/>
    <x v="22"/>
    <x v="26"/>
  </r>
  <r>
    <x v="50"/>
    <x v="0"/>
    <x v="1"/>
    <x v="1"/>
    <x v="15"/>
    <x v="44"/>
    <x v="178"/>
  </r>
  <r>
    <x v="51"/>
    <x v="2"/>
    <x v="2"/>
    <x v="0"/>
    <x v="16"/>
    <x v="2"/>
    <x v="48"/>
  </r>
  <r>
    <x v="51"/>
    <x v="3"/>
    <x v="3"/>
    <x v="2"/>
    <x v="16"/>
    <x v="34"/>
    <x v="155"/>
  </r>
  <r>
    <x v="51"/>
    <x v="2"/>
    <x v="1"/>
    <x v="1"/>
    <x v="8"/>
    <x v="47"/>
    <x v="162"/>
  </r>
  <r>
    <x v="52"/>
    <x v="0"/>
    <x v="1"/>
    <x v="14"/>
    <x v="6"/>
    <x v="39"/>
    <x v="107"/>
  </r>
  <r>
    <x v="52"/>
    <x v="3"/>
    <x v="3"/>
    <x v="5"/>
    <x v="15"/>
    <x v="10"/>
    <x v="94"/>
  </r>
  <r>
    <x v="52"/>
    <x v="0"/>
    <x v="1"/>
    <x v="9"/>
    <x v="15"/>
    <x v="14"/>
    <x v="108"/>
  </r>
  <r>
    <x v="52"/>
    <x v="1"/>
    <x v="0"/>
    <x v="11"/>
    <x v="8"/>
    <x v="4"/>
    <x v="32"/>
  </r>
  <r>
    <x v="53"/>
    <x v="2"/>
    <x v="0"/>
    <x v="11"/>
    <x v="9"/>
    <x v="4"/>
    <x v="38"/>
  </r>
  <r>
    <x v="54"/>
    <x v="2"/>
    <x v="1"/>
    <x v="1"/>
    <x v="4"/>
    <x v="43"/>
    <x v="141"/>
  </r>
  <r>
    <x v="54"/>
    <x v="0"/>
    <x v="1"/>
    <x v="1"/>
    <x v="14"/>
    <x v="49"/>
    <x v="177"/>
  </r>
  <r>
    <x v="54"/>
    <x v="0"/>
    <x v="2"/>
    <x v="12"/>
    <x v="12"/>
    <x v="22"/>
    <x v="113"/>
  </r>
  <r>
    <x v="54"/>
    <x v="0"/>
    <x v="0"/>
    <x v="4"/>
    <x v="11"/>
    <x v="25"/>
    <x v="114"/>
  </r>
  <r>
    <x v="55"/>
    <x v="3"/>
    <x v="0"/>
    <x v="4"/>
    <x v="8"/>
    <x v="27"/>
    <x v="99"/>
  </r>
  <r>
    <x v="55"/>
    <x v="3"/>
    <x v="1"/>
    <x v="8"/>
    <x v="6"/>
    <x v="1"/>
    <x v="16"/>
  </r>
  <r>
    <x v="56"/>
    <x v="1"/>
    <x v="2"/>
    <x v="13"/>
    <x v="0"/>
    <x v="2"/>
    <x v="1"/>
  </r>
  <r>
    <x v="56"/>
    <x v="2"/>
    <x v="2"/>
    <x v="12"/>
    <x v="6"/>
    <x v="24"/>
    <x v="80"/>
  </r>
  <r>
    <x v="56"/>
    <x v="0"/>
    <x v="1"/>
    <x v="1"/>
    <x v="14"/>
    <x v="46"/>
    <x v="176"/>
  </r>
  <r>
    <x v="57"/>
    <x v="1"/>
    <x v="0"/>
    <x v="4"/>
    <x v="6"/>
    <x v="28"/>
    <x v="88"/>
  </r>
  <r>
    <x v="57"/>
    <x v="2"/>
    <x v="1"/>
    <x v="9"/>
    <x v="8"/>
    <x v="13"/>
    <x v="72"/>
  </r>
  <r>
    <x v="57"/>
    <x v="2"/>
    <x v="0"/>
    <x v="11"/>
    <x v="0"/>
    <x v="3"/>
    <x v="2"/>
  </r>
  <r>
    <x v="58"/>
    <x v="1"/>
    <x v="0"/>
    <x v="4"/>
    <x v="5"/>
    <x v="27"/>
    <x v="75"/>
  </r>
  <r>
    <x v="58"/>
    <x v="1"/>
    <x v="3"/>
    <x v="5"/>
    <x v="11"/>
    <x v="7"/>
    <x v="68"/>
  </r>
  <r>
    <x v="58"/>
    <x v="3"/>
    <x v="0"/>
    <x v="4"/>
    <x v="3"/>
    <x v="32"/>
    <x v="60"/>
  </r>
  <r>
    <x v="58"/>
    <x v="2"/>
    <x v="2"/>
    <x v="0"/>
    <x v="11"/>
    <x v="2"/>
    <x v="35"/>
  </r>
  <r>
    <x v="58"/>
    <x v="3"/>
    <x v="1"/>
    <x v="9"/>
    <x v="18"/>
    <x v="15"/>
    <x v="126"/>
  </r>
  <r>
    <x v="59"/>
    <x v="4"/>
    <x v="2"/>
    <x v="12"/>
    <x v="0"/>
    <x v="28"/>
    <x v="12"/>
  </r>
  <r>
    <x v="59"/>
    <x v="3"/>
    <x v="3"/>
    <x v="6"/>
    <x v="12"/>
    <x v="8"/>
    <x v="78"/>
  </r>
  <r>
    <x v="60"/>
    <x v="0"/>
    <x v="0"/>
    <x v="10"/>
    <x v="12"/>
    <x v="21"/>
    <x v="111"/>
  </r>
  <r>
    <x v="61"/>
    <x v="2"/>
    <x v="2"/>
    <x v="13"/>
    <x v="19"/>
    <x v="2"/>
    <x v="54"/>
  </r>
  <r>
    <x v="61"/>
    <x v="0"/>
    <x v="2"/>
    <x v="12"/>
    <x v="15"/>
    <x v="28"/>
    <x v="142"/>
  </r>
  <r>
    <x v="61"/>
    <x v="1"/>
    <x v="2"/>
    <x v="12"/>
    <x v="7"/>
    <x v="28"/>
    <x v="93"/>
  </r>
  <r>
    <x v="61"/>
    <x v="3"/>
    <x v="0"/>
    <x v="4"/>
    <x v="11"/>
    <x v="32"/>
    <x v="130"/>
  </r>
  <r>
    <x v="61"/>
    <x v="1"/>
    <x v="0"/>
    <x v="4"/>
    <x v="4"/>
    <x v="31"/>
    <x v="67"/>
  </r>
  <r>
    <x v="62"/>
    <x v="1"/>
    <x v="1"/>
    <x v="8"/>
    <x v="15"/>
    <x v="0"/>
    <x v="35"/>
  </r>
  <r>
    <x v="62"/>
    <x v="1"/>
    <x v="0"/>
    <x v="10"/>
    <x v="16"/>
    <x v="16"/>
    <x v="119"/>
  </r>
  <r>
    <x v="62"/>
    <x v="0"/>
    <x v="1"/>
    <x v="9"/>
    <x v="8"/>
    <x v="14"/>
    <x v="75"/>
  </r>
  <r>
    <x v="62"/>
    <x v="2"/>
    <x v="1"/>
    <x v="1"/>
    <x v="1"/>
    <x v="46"/>
    <x v="81"/>
  </r>
  <r>
    <x v="63"/>
    <x v="1"/>
    <x v="1"/>
    <x v="1"/>
    <x v="9"/>
    <x v="48"/>
    <x v="164"/>
  </r>
  <r>
    <x v="63"/>
    <x v="4"/>
    <x v="0"/>
    <x v="15"/>
    <x v="1"/>
    <x v="23"/>
    <x v="27"/>
  </r>
  <r>
    <x v="63"/>
    <x v="4"/>
    <x v="2"/>
    <x v="13"/>
    <x v="14"/>
    <x v="2"/>
    <x v="45"/>
  </r>
  <r>
    <x v="64"/>
    <x v="3"/>
    <x v="3"/>
    <x v="3"/>
    <x v="13"/>
    <x v="12"/>
    <x v="94"/>
  </r>
  <r>
    <x v="64"/>
    <x v="4"/>
    <x v="0"/>
    <x v="15"/>
    <x v="12"/>
    <x v="18"/>
    <x v="105"/>
  </r>
  <r>
    <x v="64"/>
    <x v="2"/>
    <x v="2"/>
    <x v="12"/>
    <x v="12"/>
    <x v="26"/>
    <x v="121"/>
  </r>
  <r>
    <x v="65"/>
    <x v="3"/>
    <x v="0"/>
    <x v="10"/>
    <x v="15"/>
    <x v="22"/>
    <x v="133"/>
  </r>
  <r>
    <x v="65"/>
    <x v="2"/>
    <x v="0"/>
    <x v="15"/>
    <x v="7"/>
    <x v="18"/>
    <x v="77"/>
  </r>
  <r>
    <x v="65"/>
    <x v="1"/>
    <x v="0"/>
    <x v="15"/>
    <x v="13"/>
    <x v="20"/>
    <x v="115"/>
  </r>
  <r>
    <x v="66"/>
    <x v="1"/>
    <x v="2"/>
    <x v="13"/>
    <x v="12"/>
    <x v="3"/>
    <x v="43"/>
  </r>
  <r>
    <x v="66"/>
    <x v="1"/>
    <x v="2"/>
    <x v="13"/>
    <x v="11"/>
    <x v="2"/>
    <x v="35"/>
  </r>
  <r>
    <x v="67"/>
    <x v="4"/>
    <x v="1"/>
    <x v="1"/>
    <x v="13"/>
    <x v="44"/>
    <x v="172"/>
  </r>
  <r>
    <x v="67"/>
    <x v="0"/>
    <x v="1"/>
    <x v="14"/>
    <x v="0"/>
    <x v="39"/>
    <x v="22"/>
  </r>
  <r>
    <x v="67"/>
    <x v="1"/>
    <x v="1"/>
    <x v="14"/>
    <x v="10"/>
    <x v="37"/>
    <x v="140"/>
  </r>
  <r>
    <x v="67"/>
    <x v="1"/>
    <x v="2"/>
    <x v="0"/>
    <x v="11"/>
    <x v="1"/>
    <x v="30"/>
  </r>
  <r>
    <x v="68"/>
    <x v="3"/>
    <x v="0"/>
    <x v="10"/>
    <x v="14"/>
    <x v="21"/>
    <x v="122"/>
  </r>
  <r>
    <x v="68"/>
    <x v="2"/>
    <x v="0"/>
    <x v="15"/>
    <x v="12"/>
    <x v="21"/>
    <x v="111"/>
  </r>
  <r>
    <x v="68"/>
    <x v="2"/>
    <x v="1"/>
    <x v="9"/>
    <x v="12"/>
    <x v="15"/>
    <x v="99"/>
  </r>
  <r>
    <x v="69"/>
    <x v="4"/>
    <x v="0"/>
    <x v="4"/>
    <x v="12"/>
    <x v="30"/>
    <x v="134"/>
  </r>
  <r>
    <x v="69"/>
    <x v="4"/>
    <x v="3"/>
    <x v="5"/>
    <x v="18"/>
    <x v="7"/>
    <x v="97"/>
  </r>
  <r>
    <x v="70"/>
    <x v="1"/>
    <x v="1"/>
    <x v="9"/>
    <x v="13"/>
    <x v="13"/>
    <x v="98"/>
  </r>
  <r>
    <x v="70"/>
    <x v="0"/>
    <x v="1"/>
    <x v="14"/>
    <x v="2"/>
    <x v="37"/>
    <x v="57"/>
  </r>
  <r>
    <x v="70"/>
    <x v="1"/>
    <x v="0"/>
    <x v="15"/>
    <x v="15"/>
    <x v="19"/>
    <x v="123"/>
  </r>
  <r>
    <x v="71"/>
    <x v="4"/>
    <x v="1"/>
    <x v="1"/>
    <x v="19"/>
    <x v="51"/>
    <x v="184"/>
  </r>
  <r>
    <x v="72"/>
    <x v="2"/>
    <x v="1"/>
    <x v="14"/>
    <x v="5"/>
    <x v="40"/>
    <x v="100"/>
  </r>
  <r>
    <x v="72"/>
    <x v="0"/>
    <x v="1"/>
    <x v="8"/>
    <x v="12"/>
    <x v="0"/>
    <x v="28"/>
  </r>
  <r>
    <x v="72"/>
    <x v="3"/>
    <x v="1"/>
    <x v="1"/>
    <x v="4"/>
    <x v="48"/>
    <x v="144"/>
  </r>
  <r>
    <x v="72"/>
    <x v="4"/>
    <x v="1"/>
    <x v="14"/>
    <x v="2"/>
    <x v="36"/>
    <x v="56"/>
  </r>
  <r>
    <x v="73"/>
    <x v="3"/>
    <x v="3"/>
    <x v="2"/>
    <x v="3"/>
    <x v="34"/>
    <x v="66"/>
  </r>
  <r>
    <x v="74"/>
    <x v="2"/>
    <x v="3"/>
    <x v="3"/>
    <x v="19"/>
    <x v="18"/>
    <x v="139"/>
  </r>
  <r>
    <x v="74"/>
    <x v="4"/>
    <x v="2"/>
    <x v="12"/>
    <x v="7"/>
    <x v="22"/>
    <x v="85"/>
  </r>
  <r>
    <x v="75"/>
    <x v="3"/>
    <x v="1"/>
    <x v="8"/>
    <x v="16"/>
    <x v="0"/>
    <x v="39"/>
  </r>
  <r>
    <x v="75"/>
    <x v="3"/>
    <x v="1"/>
    <x v="14"/>
    <x v="18"/>
    <x v="35"/>
    <x v="159"/>
  </r>
  <r>
    <x v="75"/>
    <x v="2"/>
    <x v="0"/>
    <x v="4"/>
    <x v="11"/>
    <x v="30"/>
    <x v="124"/>
  </r>
  <r>
    <x v="75"/>
    <x v="4"/>
    <x v="1"/>
    <x v="1"/>
    <x v="17"/>
    <x v="50"/>
    <x v="181"/>
  </r>
  <r>
    <x v="76"/>
    <x v="0"/>
    <x v="0"/>
    <x v="15"/>
    <x v="12"/>
    <x v="23"/>
    <x v="117"/>
  </r>
  <r>
    <x v="76"/>
    <x v="4"/>
    <x v="2"/>
    <x v="0"/>
    <x v="0"/>
    <x v="2"/>
    <x v="1"/>
  </r>
  <r>
    <x v="76"/>
    <x v="2"/>
    <x v="1"/>
    <x v="9"/>
    <x v="7"/>
    <x v="14"/>
    <x v="64"/>
  </r>
  <r>
    <x v="77"/>
    <x v="2"/>
    <x v="2"/>
    <x v="7"/>
    <x v="10"/>
    <x v="12"/>
    <x v="83"/>
  </r>
  <r>
    <x v="77"/>
    <x v="0"/>
    <x v="3"/>
    <x v="2"/>
    <x v="12"/>
    <x v="37"/>
    <x v="150"/>
  </r>
  <r>
    <x v="77"/>
    <x v="0"/>
    <x v="2"/>
    <x v="13"/>
    <x v="19"/>
    <x v="3"/>
    <x v="61"/>
  </r>
  <r>
    <x v="77"/>
    <x v="0"/>
    <x v="1"/>
    <x v="1"/>
    <x v="12"/>
    <x v="49"/>
    <x v="170"/>
  </r>
  <r>
    <x v="78"/>
    <x v="0"/>
    <x v="0"/>
    <x v="4"/>
    <x v="11"/>
    <x v="24"/>
    <x v="112"/>
  </r>
  <r>
    <x v="78"/>
    <x v="4"/>
    <x v="0"/>
    <x v="10"/>
    <x v="6"/>
    <x v="22"/>
    <x v="76"/>
  </r>
  <r>
    <x v="78"/>
    <x v="4"/>
    <x v="2"/>
    <x v="0"/>
    <x v="13"/>
    <x v="1"/>
    <x v="36"/>
  </r>
  <r>
    <x v="79"/>
    <x v="4"/>
    <x v="3"/>
    <x v="6"/>
    <x v="6"/>
    <x v="6"/>
    <x v="44"/>
  </r>
  <r>
    <x v="79"/>
    <x v="0"/>
    <x v="1"/>
    <x v="9"/>
    <x v="16"/>
    <x v="16"/>
    <x v="119"/>
  </r>
  <r>
    <x v="79"/>
    <x v="0"/>
    <x v="2"/>
    <x v="0"/>
    <x v="5"/>
    <x v="2"/>
    <x v="15"/>
  </r>
  <r>
    <x v="79"/>
    <x v="3"/>
    <x v="0"/>
    <x v="10"/>
    <x v="13"/>
    <x v="18"/>
    <x v="110"/>
  </r>
  <r>
    <x v="79"/>
    <x v="2"/>
    <x v="2"/>
    <x v="0"/>
    <x v="15"/>
    <x v="0"/>
    <x v="35"/>
  </r>
  <r>
    <x v="80"/>
    <x v="0"/>
    <x v="1"/>
    <x v="1"/>
    <x v="10"/>
    <x v="49"/>
    <x v="167"/>
  </r>
  <r>
    <x v="80"/>
    <x v="0"/>
    <x v="3"/>
    <x v="6"/>
    <x v="10"/>
    <x v="5"/>
    <x v="60"/>
  </r>
  <r>
    <x v="80"/>
    <x v="2"/>
    <x v="0"/>
    <x v="11"/>
    <x v="15"/>
    <x v="4"/>
    <x v="54"/>
  </r>
  <r>
    <x v="80"/>
    <x v="1"/>
    <x v="3"/>
    <x v="3"/>
    <x v="18"/>
    <x v="16"/>
    <x v="131"/>
  </r>
  <r>
    <x v="80"/>
    <x v="4"/>
    <x v="2"/>
    <x v="13"/>
    <x v="14"/>
    <x v="2"/>
    <x v="45"/>
  </r>
  <r>
    <x v="81"/>
    <x v="2"/>
    <x v="0"/>
    <x v="4"/>
    <x v="14"/>
    <x v="30"/>
    <x v="141"/>
  </r>
  <r>
    <x v="81"/>
    <x v="4"/>
    <x v="2"/>
    <x v="13"/>
    <x v="7"/>
    <x v="4"/>
    <x v="29"/>
  </r>
  <r>
    <x v="81"/>
    <x v="4"/>
    <x v="0"/>
    <x v="15"/>
    <x v="19"/>
    <x v="18"/>
    <x v="139"/>
  </r>
  <r>
    <x v="82"/>
    <x v="1"/>
    <x v="3"/>
    <x v="6"/>
    <x v="12"/>
    <x v="6"/>
    <x v="70"/>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PivotTable5" cacheId="1" applyNumberFormats="0" applyBorderFormats="0" applyFontFormats="0" applyPatternFormats="0" applyAlignmentFormats="0" applyWidthHeightFormats="0" dataCaption="Values" showDrill="1" useAutoFormatting="0" itemPrintTitles="1" indent="0" outline="1" outlineData="1" compact="1" compactData="1">
  <location ref="A3:F10" firstHeaderRow="1" firstDataRow="2" firstDataCol="1"/>
  <pivotFields count="7">
    <pivotField showAll="0"/>
    <pivotField axis="axisRow" showAll="0">
      <items count="6">
        <item x="0"/>
        <item x="1"/>
        <item x="2"/>
        <item x="3"/>
        <item x="4"/>
        <item t="default"/>
      </items>
    </pivotField>
    <pivotField axis="axisCol" showAll="0">
      <items count="5">
        <item x="0"/>
        <item x="1"/>
        <item x="2"/>
        <item x="3"/>
        <item t="default"/>
      </items>
    </pivotField>
    <pivotField showAll="0"/>
    <pivotField showAll="0"/>
    <pivotField showAll="0"/>
    <pivotField dataField="1" showAll="0"/>
  </pivotFields>
  <rowFields count="1">
    <field x="1"/>
  </rowFields>
  <colFields count="1">
    <field x="2"/>
  </colFields>
  <dataFields count="1">
    <dataField name="Sum of Total Penjualan" fld="6" subtotal="sum" numFmtId="166"/>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ivotTable3" cacheId="1" applyNumberFormats="0" applyBorderFormats="0" applyFontFormats="0" applyPatternFormats="0" applyAlignmentFormats="0" applyWidthHeightFormats="0" dataCaption="Values" showDrill="1" useAutoFormatting="0" itemPrintTitles="1" indent="0" outline="1" outlineData="1" compact="1" compactData="1">
  <location ref="A3:B20" firstHeaderRow="1" firstDataRow="1" firstDataCol="1"/>
  <pivotFields count="7">
    <pivotField showAll="0"/>
    <pivotField showAll="0"/>
    <pivotField showAll="0"/>
    <pivotField axis="axisRow" showAll="0">
      <items count="17">
        <item x="15"/>
        <item x="14"/>
        <item x="13"/>
        <item x="12"/>
        <item x="11"/>
        <item x="10"/>
        <item x="9"/>
        <item x="8"/>
        <item x="7"/>
        <item x="6"/>
        <item x="5"/>
        <item x="4"/>
        <item x="3"/>
        <item x="2"/>
        <item x="1"/>
        <item x="0"/>
        <item t="default"/>
      </items>
    </pivotField>
    <pivotField dataField="1" showAll="0"/>
    <pivotField showAll="0"/>
    <pivotField showAll="0"/>
  </pivotFields>
  <rowFields count="1">
    <field x="3"/>
  </rowFields>
  <dataFields count="1">
    <dataField name="Sum of Qty" fld="4" subtotal="sum" numFmtId="164"/>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TabelGemilang" displayName="TabelGemilang" ref="A1:G261" headerRowCount="1" totalsRowCount="0" totalsRowShown="0">
  <autoFilter ref="A1:G261"/>
  <tableColumns count="7">
    <tableColumn id="1" name="Tanggal"/>
    <tableColumn id="2" name="Cabang"/>
    <tableColumn id="3" name="Kategori"/>
    <tableColumn id="4" name="Produk"/>
    <tableColumn id="5" name="Qty"/>
    <tableColumn id="6" name="Harga Satuan"/>
    <tableColumn id="7" name="Total Penjualan"/>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pivotTable" Target="../pivotTables/pivotTable1.xml"/>
</Relationships>
</file>

<file path=xl/worksheets/_rels/sheet4.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pivotTable" Target="../pivotTables/pivot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3"/>
    <col collapsed="false" customWidth="true" hidden="false" outlineLevel="0" max="2" min="2" style="1" width="36"/>
    <col collapsed="false" customWidth="true" hidden="false" outlineLevel="0" max="3" min="3" style="1" width="70"/>
  </cols>
  <sheetData>
    <row r="2" customFormat="false" ht="27.75" hidden="false" customHeight="true" outlineLevel="0" collapsed="false">
      <c r="B2" s="2" t="s">
        <v>0</v>
      </c>
      <c r="C2" s="2"/>
    </row>
    <row r="3" customFormat="false" ht="15.75" hidden="false" customHeight="true" outlineLevel="0" collapsed="false">
      <c r="B3" s="3" t="s">
        <v>1</v>
      </c>
      <c r="C3" s="3"/>
    </row>
    <row r="4" customFormat="false" ht="14.25" hidden="false" customHeight="true" outlineLevel="0" collapsed="false">
      <c r="B4" s="4" t="s">
        <v>2</v>
      </c>
      <c r="C4" s="4"/>
    </row>
    <row r="6" customFormat="false" ht="14.25" hidden="false" customHeight="true" outlineLevel="0" collapsed="false">
      <c r="B6" s="5" t="s">
        <v>3</v>
      </c>
      <c r="C6" s="6" t="s">
        <v>4</v>
      </c>
    </row>
    <row r="7" customFormat="false" ht="14.25" hidden="false" customHeight="true" outlineLevel="0" collapsed="false">
      <c r="B7" s="5" t="s">
        <v>5</v>
      </c>
      <c r="C7" s="6" t="s">
        <v>6</v>
      </c>
    </row>
    <row r="8" customFormat="false" ht="14.25" hidden="false" customHeight="true" outlineLevel="0" collapsed="false">
      <c r="B8" s="5" t="s">
        <v>7</v>
      </c>
      <c r="C8" s="6" t="s">
        <v>8</v>
      </c>
    </row>
    <row r="9" customFormat="false" ht="14.25" hidden="false" customHeight="true" outlineLevel="0" collapsed="false">
      <c r="B9" s="5" t="s">
        <v>9</v>
      </c>
      <c r="C9" s="6" t="s">
        <v>10</v>
      </c>
    </row>
    <row r="10" customFormat="false" ht="14.25" hidden="false" customHeight="true" outlineLevel="0" collapsed="false">
      <c r="B10" s="5" t="s">
        <v>11</v>
      </c>
      <c r="C10" s="6" t="s">
        <v>12</v>
      </c>
    </row>
    <row r="12" customFormat="false" ht="15" hidden="false" customHeight="true" outlineLevel="0" collapsed="false">
      <c r="B12" s="7" t="s">
        <v>13</v>
      </c>
      <c r="C12" s="7"/>
    </row>
    <row r="13" customFormat="false" ht="14.25" hidden="false" customHeight="true" outlineLevel="0" collapsed="false">
      <c r="B13" s="8" t="s">
        <v>14</v>
      </c>
      <c r="C13" s="8"/>
    </row>
    <row r="14" customFormat="false" ht="14.25" hidden="false" customHeight="true" outlineLevel="0" collapsed="false">
      <c r="B14" s="8" t="s">
        <v>15</v>
      </c>
      <c r="C14" s="8"/>
    </row>
    <row r="15" customFormat="false" ht="14.25" hidden="false" customHeight="true" outlineLevel="0" collapsed="false">
      <c r="B15" s="8" t="s">
        <v>16</v>
      </c>
      <c r="C15" s="8"/>
    </row>
    <row r="16" customFormat="false" ht="14.25" hidden="false" customHeight="true" outlineLevel="0" collapsed="false">
      <c r="B16" s="8" t="s">
        <v>17</v>
      </c>
      <c r="C16" s="8"/>
    </row>
    <row r="17" customFormat="false" ht="14.25" hidden="false" customHeight="true" outlineLevel="0" collapsed="false">
      <c r="B17" s="8" t="s">
        <v>18</v>
      </c>
      <c r="C17" s="8"/>
    </row>
    <row r="19" customFormat="false" ht="15" hidden="false" customHeight="true" outlineLevel="0" collapsed="false">
      <c r="B19" s="7" t="s">
        <v>19</v>
      </c>
      <c r="C19" s="7"/>
    </row>
    <row r="20" customFormat="false" ht="14.25" hidden="false" customHeight="true" outlineLevel="0" collapsed="false">
      <c r="B20" s="5" t="s">
        <v>20</v>
      </c>
      <c r="C20" s="6" t="s">
        <v>21</v>
      </c>
    </row>
    <row r="21" customFormat="false" ht="14.25" hidden="false" customHeight="true" outlineLevel="0" collapsed="false">
      <c r="B21" s="5" t="s">
        <v>22</v>
      </c>
      <c r="C21" s="6" t="s">
        <v>23</v>
      </c>
    </row>
    <row r="23" customFormat="false" ht="15" hidden="false" customHeight="true" outlineLevel="0" collapsed="false">
      <c r="B23" s="7" t="s">
        <v>24</v>
      </c>
      <c r="C23" s="7"/>
    </row>
    <row r="24" customFormat="false" ht="14.25" hidden="false" customHeight="true" outlineLevel="0" collapsed="false">
      <c r="B24" s="5" t="s">
        <v>25</v>
      </c>
      <c r="C24" s="6" t="s">
        <v>26</v>
      </c>
    </row>
    <row r="25" customFormat="false" ht="14.25" hidden="false" customHeight="true" outlineLevel="0" collapsed="false">
      <c r="B25" s="5" t="s">
        <v>27</v>
      </c>
      <c r="C25" s="6" t="s">
        <v>28</v>
      </c>
    </row>
    <row r="26" customFormat="false" ht="14.25" hidden="false" customHeight="true" outlineLevel="0" collapsed="false">
      <c r="B26" s="5" t="s">
        <v>29</v>
      </c>
      <c r="C26" s="6" t="s">
        <v>30</v>
      </c>
    </row>
    <row r="27" customFormat="false" ht="14.25" hidden="false" customHeight="true" outlineLevel="0" collapsed="false">
      <c r="B27" s="5" t="s">
        <v>31</v>
      </c>
      <c r="C27" s="6" t="s">
        <v>32</v>
      </c>
    </row>
    <row r="28" customFormat="false" ht="14.25" hidden="false" customHeight="true" outlineLevel="0" collapsed="false">
      <c r="B28" s="5" t="s">
        <v>33</v>
      </c>
      <c r="C28" s="6" t="s">
        <v>34</v>
      </c>
    </row>
  </sheetData>
  <mergeCells count="11">
    <mergeCell ref="B2:C2"/>
    <mergeCell ref="B3:C3"/>
    <mergeCell ref="B4:C4"/>
    <mergeCell ref="B12:C12"/>
    <mergeCell ref="B13:C13"/>
    <mergeCell ref="B14:C14"/>
    <mergeCell ref="B15:C15"/>
    <mergeCell ref="B16:C16"/>
    <mergeCell ref="B17:C17"/>
    <mergeCell ref="B19:C19"/>
    <mergeCell ref="B23:C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6" activeCellId="0" sqref="C6"/>
    </sheetView>
  </sheetViews>
  <sheetFormatPr defaultColWidth="8.66796875" defaultRowHeight="14.25" zeroHeight="false" outlineLevelRow="0" outlineLevelCol="0"/>
  <cols>
    <col collapsed="false" customWidth="true" hidden="false" outlineLevel="0" max="1" min="1" style="1" width="12"/>
    <col collapsed="false" customWidth="true" hidden="false" outlineLevel="0" max="2" min="2" style="1" width="24"/>
    <col collapsed="false" customWidth="true" hidden="false" outlineLevel="0" max="3" min="3" style="1" width="16"/>
    <col collapsed="false" customWidth="true" hidden="false" outlineLevel="0" max="4" min="4" style="1" width="24"/>
    <col collapsed="false" customWidth="true" hidden="false" outlineLevel="0" max="5" min="5" style="1" width="6"/>
    <col collapsed="false" customWidth="true" hidden="false" outlineLevel="0" max="6" min="6" style="1" width="13"/>
    <col collapsed="false" customWidth="true" hidden="false" outlineLevel="0" max="7" min="7" style="1" width="15"/>
  </cols>
  <sheetData>
    <row r="1" customFormat="false" ht="14.25" hidden="false" customHeight="true" outlineLevel="0" collapsed="false">
      <c r="A1" s="9" t="s">
        <v>35</v>
      </c>
      <c r="B1" s="9" t="s">
        <v>36</v>
      </c>
      <c r="C1" s="9" t="s">
        <v>37</v>
      </c>
      <c r="D1" s="9" t="s">
        <v>38</v>
      </c>
      <c r="E1" s="9" t="s">
        <v>39</v>
      </c>
      <c r="F1" s="9" t="s">
        <v>40</v>
      </c>
      <c r="G1" s="9" t="s">
        <v>41</v>
      </c>
    </row>
    <row r="2" customFormat="false" ht="14.25" hidden="false" customHeight="true" outlineLevel="0" collapsed="false">
      <c r="A2" s="10" t="n">
        <v>45658</v>
      </c>
      <c r="B2" s="11" t="s">
        <v>42</v>
      </c>
      <c r="C2" s="11" t="s">
        <v>43</v>
      </c>
      <c r="D2" s="11" t="s">
        <v>44</v>
      </c>
      <c r="E2" s="11" t="n">
        <v>20</v>
      </c>
      <c r="F2" s="12" t="n">
        <v>14000</v>
      </c>
      <c r="G2" s="12" t="n">
        <f aca="false">E2*F2</f>
        <v>280000</v>
      </c>
    </row>
    <row r="3" customFormat="false" ht="14.25" hidden="false" customHeight="true" outlineLevel="0" collapsed="false">
      <c r="A3" s="10" t="n">
        <v>45658</v>
      </c>
      <c r="B3" s="11" t="s">
        <v>45</v>
      </c>
      <c r="C3" s="11" t="s">
        <v>46</v>
      </c>
      <c r="D3" s="11" t="s">
        <v>47</v>
      </c>
      <c r="E3" s="11" t="n">
        <v>16</v>
      </c>
      <c r="F3" s="12" t="n">
        <v>17000</v>
      </c>
      <c r="G3" s="12" t="n">
        <f aca="false">E3*F3</f>
        <v>272000</v>
      </c>
    </row>
    <row r="4" customFormat="false" ht="14.25" hidden="false" customHeight="true" outlineLevel="0" collapsed="false">
      <c r="A4" s="10" t="n">
        <v>45659</v>
      </c>
      <c r="B4" s="11" t="s">
        <v>48</v>
      </c>
      <c r="C4" s="11" t="s">
        <v>49</v>
      </c>
      <c r="D4" s="11" t="s">
        <v>50</v>
      </c>
      <c r="E4" s="11" t="n">
        <v>17</v>
      </c>
      <c r="F4" s="12" t="n">
        <v>20500</v>
      </c>
      <c r="G4" s="12" t="n">
        <f aca="false">E4*F4</f>
        <v>348500</v>
      </c>
    </row>
    <row r="5" customFormat="false" ht="14.25" hidden="false" customHeight="true" outlineLevel="0" collapsed="false">
      <c r="A5" s="10" t="n">
        <v>45660</v>
      </c>
      <c r="B5" s="11" t="s">
        <v>48</v>
      </c>
      <c r="C5" s="11" t="s">
        <v>43</v>
      </c>
      <c r="D5" s="11" t="s">
        <v>51</v>
      </c>
      <c r="E5" s="11" t="n">
        <v>15</v>
      </c>
      <c r="F5" s="12" t="n">
        <v>3000</v>
      </c>
      <c r="G5" s="12" t="n">
        <f aca="false">E5*F5</f>
        <v>45000</v>
      </c>
    </row>
    <row r="6" customFormat="false" ht="14.25" hidden="false" customHeight="true" outlineLevel="0" collapsed="false">
      <c r="A6" s="10" t="n">
        <v>45660</v>
      </c>
      <c r="B6" s="11" t="s">
        <v>42</v>
      </c>
      <c r="C6" s="11" t="s">
        <v>49</v>
      </c>
      <c r="D6" s="11" t="s">
        <v>52</v>
      </c>
      <c r="E6" s="11" t="n">
        <v>3</v>
      </c>
      <c r="F6" s="12" t="n">
        <v>15500</v>
      </c>
      <c r="G6" s="12" t="n">
        <f aca="false">E6*F6</f>
        <v>46500</v>
      </c>
    </row>
    <row r="7" customFormat="false" ht="14.25" hidden="false" customHeight="true" outlineLevel="0" collapsed="false">
      <c r="A7" s="10" t="n">
        <v>45660</v>
      </c>
      <c r="B7" s="11" t="s">
        <v>42</v>
      </c>
      <c r="C7" s="11" t="s">
        <v>46</v>
      </c>
      <c r="D7" s="11" t="s">
        <v>53</v>
      </c>
      <c r="E7" s="11" t="n">
        <v>16</v>
      </c>
      <c r="F7" s="12" t="n">
        <v>3500</v>
      </c>
      <c r="G7" s="12" t="n">
        <f aca="false">E7*F7</f>
        <v>56000</v>
      </c>
    </row>
    <row r="8" customFormat="false" ht="14.25" hidden="false" customHeight="true" outlineLevel="0" collapsed="false">
      <c r="A8" s="10" t="n">
        <v>45660</v>
      </c>
      <c r="B8" s="11" t="s">
        <v>54</v>
      </c>
      <c r="C8" s="11" t="s">
        <v>43</v>
      </c>
      <c r="D8" s="11" t="s">
        <v>55</v>
      </c>
      <c r="E8" s="11" t="n">
        <v>20</v>
      </c>
      <c r="F8" s="12" t="n">
        <v>28500</v>
      </c>
      <c r="G8" s="12" t="n">
        <f aca="false">E8*F8</f>
        <v>570000</v>
      </c>
    </row>
    <row r="9" customFormat="false" ht="14.25" hidden="false" customHeight="true" outlineLevel="0" collapsed="false">
      <c r="A9" s="10" t="n">
        <v>45661</v>
      </c>
      <c r="B9" s="11" t="s">
        <v>56</v>
      </c>
      <c r="C9" s="11" t="s">
        <v>46</v>
      </c>
      <c r="D9" s="11" t="s">
        <v>47</v>
      </c>
      <c r="E9" s="11" t="n">
        <v>15</v>
      </c>
      <c r="F9" s="12" t="n">
        <v>18000</v>
      </c>
      <c r="G9" s="12" t="n">
        <f aca="false">E9*F9</f>
        <v>270000</v>
      </c>
    </row>
    <row r="10" customFormat="false" ht="14.25" hidden="false" customHeight="true" outlineLevel="0" collapsed="false">
      <c r="A10" s="10" t="n">
        <v>45661</v>
      </c>
      <c r="B10" s="11" t="s">
        <v>45</v>
      </c>
      <c r="C10" s="11" t="s">
        <v>46</v>
      </c>
      <c r="D10" s="11" t="s">
        <v>53</v>
      </c>
      <c r="E10" s="11" t="n">
        <v>18</v>
      </c>
      <c r="F10" s="12" t="n">
        <v>3500</v>
      </c>
      <c r="G10" s="12" t="n">
        <f aca="false">E10*F10</f>
        <v>63000</v>
      </c>
    </row>
    <row r="11" customFormat="false" ht="14.25" hidden="false" customHeight="true" outlineLevel="0" collapsed="false">
      <c r="A11" s="10" t="n">
        <v>45661</v>
      </c>
      <c r="B11" s="11" t="s">
        <v>48</v>
      </c>
      <c r="C11" s="11" t="s">
        <v>46</v>
      </c>
      <c r="D11" s="11" t="s">
        <v>47</v>
      </c>
      <c r="E11" s="11" t="n">
        <v>20</v>
      </c>
      <c r="F11" s="12" t="n">
        <v>17000</v>
      </c>
      <c r="G11" s="12" t="n">
        <f aca="false">E11*F11</f>
        <v>340000</v>
      </c>
    </row>
    <row r="12" customFormat="false" ht="14.25" hidden="false" customHeight="true" outlineLevel="0" collapsed="false">
      <c r="A12" s="10" t="n">
        <v>45662</v>
      </c>
      <c r="B12" s="11" t="s">
        <v>56</v>
      </c>
      <c r="C12" s="11" t="s">
        <v>49</v>
      </c>
      <c r="D12" s="11" t="s">
        <v>57</v>
      </c>
      <c r="E12" s="11" t="n">
        <v>12</v>
      </c>
      <c r="F12" s="12" t="n">
        <v>5000</v>
      </c>
      <c r="G12" s="12" t="n">
        <f aca="false">E12*F12</f>
        <v>60000</v>
      </c>
    </row>
    <row r="13" customFormat="false" ht="14.25" hidden="false" customHeight="true" outlineLevel="0" collapsed="false">
      <c r="A13" s="10" t="n">
        <v>45662</v>
      </c>
      <c r="B13" s="11" t="s">
        <v>42</v>
      </c>
      <c r="C13" s="11" t="s">
        <v>46</v>
      </c>
      <c r="D13" s="11" t="s">
        <v>58</v>
      </c>
      <c r="E13" s="11" t="n">
        <v>3</v>
      </c>
      <c r="F13" s="12" t="n">
        <v>4500</v>
      </c>
      <c r="G13" s="12" t="n">
        <f aca="false">E13*F13</f>
        <v>13500</v>
      </c>
    </row>
    <row r="14" customFormat="false" ht="14.25" hidden="false" customHeight="true" outlineLevel="0" collapsed="false">
      <c r="A14" s="10" t="n">
        <v>45662</v>
      </c>
      <c r="B14" s="11" t="s">
        <v>42</v>
      </c>
      <c r="C14" s="11" t="s">
        <v>46</v>
      </c>
      <c r="D14" s="11" t="s">
        <v>47</v>
      </c>
      <c r="E14" s="11" t="n">
        <v>20</v>
      </c>
      <c r="F14" s="12" t="n">
        <v>18000</v>
      </c>
      <c r="G14" s="12" t="n">
        <f aca="false">E14*F14</f>
        <v>360000</v>
      </c>
    </row>
    <row r="15" customFormat="false" ht="14.25" hidden="false" customHeight="true" outlineLevel="0" collapsed="false">
      <c r="A15" s="10" t="n">
        <v>45662</v>
      </c>
      <c r="B15" s="11" t="s">
        <v>56</v>
      </c>
      <c r="C15" s="11" t="s">
        <v>59</v>
      </c>
      <c r="D15" s="11" t="s">
        <v>60</v>
      </c>
      <c r="E15" s="11" t="n">
        <v>17</v>
      </c>
      <c r="F15" s="12" t="n">
        <v>8000</v>
      </c>
      <c r="G15" s="12" t="n">
        <f aca="false">E15*F15</f>
        <v>136000</v>
      </c>
    </row>
    <row r="16" customFormat="false" ht="14.25" hidden="false" customHeight="true" outlineLevel="0" collapsed="false">
      <c r="A16" s="10" t="n">
        <v>45662</v>
      </c>
      <c r="B16" s="11" t="s">
        <v>48</v>
      </c>
      <c r="C16" s="11" t="s">
        <v>49</v>
      </c>
      <c r="D16" s="11" t="s">
        <v>52</v>
      </c>
      <c r="E16" s="11" t="n">
        <v>7</v>
      </c>
      <c r="F16" s="12" t="n">
        <v>16000</v>
      </c>
      <c r="G16" s="12" t="n">
        <f aca="false">E16*F16</f>
        <v>112000</v>
      </c>
    </row>
    <row r="17" customFormat="false" ht="14.25" hidden="false" customHeight="true" outlineLevel="0" collapsed="false">
      <c r="A17" s="10" t="n">
        <v>45663</v>
      </c>
      <c r="B17" s="11" t="s">
        <v>56</v>
      </c>
      <c r="C17" s="11" t="s">
        <v>46</v>
      </c>
      <c r="D17" s="11" t="s">
        <v>53</v>
      </c>
      <c r="E17" s="11" t="n">
        <v>12</v>
      </c>
      <c r="F17" s="12" t="n">
        <v>4000</v>
      </c>
      <c r="G17" s="12" t="n">
        <f aca="false">E17*F17</f>
        <v>48000</v>
      </c>
    </row>
    <row r="18" customFormat="false" ht="14.25" hidden="false" customHeight="true" outlineLevel="0" collapsed="false">
      <c r="A18" s="10" t="n">
        <v>45663</v>
      </c>
      <c r="B18" s="11" t="s">
        <v>42</v>
      </c>
      <c r="C18" s="11" t="s">
        <v>49</v>
      </c>
      <c r="D18" s="11" t="s">
        <v>50</v>
      </c>
      <c r="E18" s="11" t="n">
        <v>3</v>
      </c>
      <c r="F18" s="12" t="n">
        <v>18000</v>
      </c>
      <c r="G18" s="12" t="n">
        <f aca="false">E18*F18</f>
        <v>54000</v>
      </c>
    </row>
    <row r="19" customFormat="false" ht="14.25" hidden="false" customHeight="true" outlineLevel="0" collapsed="false">
      <c r="A19" s="10" t="n">
        <v>45663</v>
      </c>
      <c r="B19" s="11" t="s">
        <v>48</v>
      </c>
      <c r="C19" s="11" t="s">
        <v>46</v>
      </c>
      <c r="D19" s="11" t="s">
        <v>53</v>
      </c>
      <c r="E19" s="11" t="n">
        <v>17</v>
      </c>
      <c r="F19" s="12" t="n">
        <v>3500</v>
      </c>
      <c r="G19" s="12" t="n">
        <f aca="false">E19*F19</f>
        <v>59500</v>
      </c>
    </row>
    <row r="20" customFormat="false" ht="14.25" hidden="false" customHeight="true" outlineLevel="0" collapsed="false">
      <c r="A20" s="10" t="n">
        <v>45663</v>
      </c>
      <c r="B20" s="11" t="s">
        <v>48</v>
      </c>
      <c r="C20" s="11" t="s">
        <v>46</v>
      </c>
      <c r="D20" s="11" t="s">
        <v>47</v>
      </c>
      <c r="E20" s="11" t="n">
        <v>7</v>
      </c>
      <c r="F20" s="12" t="n">
        <v>19500</v>
      </c>
      <c r="G20" s="12" t="n">
        <f aca="false">E20*F20</f>
        <v>136500</v>
      </c>
    </row>
    <row r="21" customFormat="false" ht="14.25" hidden="false" customHeight="true" outlineLevel="0" collapsed="false">
      <c r="A21" s="10" t="n">
        <v>45663</v>
      </c>
      <c r="B21" s="11" t="s">
        <v>54</v>
      </c>
      <c r="C21" s="11" t="s">
        <v>43</v>
      </c>
      <c r="D21" s="11" t="s">
        <v>55</v>
      </c>
      <c r="E21" s="11" t="n">
        <v>1</v>
      </c>
      <c r="F21" s="12" t="n">
        <v>29500</v>
      </c>
      <c r="G21" s="12" t="n">
        <f aca="false">E21*F21</f>
        <v>29500</v>
      </c>
    </row>
    <row r="22" customFormat="false" ht="14.25" hidden="false" customHeight="true" outlineLevel="0" collapsed="false">
      <c r="A22" s="10" t="n">
        <v>45664</v>
      </c>
      <c r="B22" s="11" t="s">
        <v>45</v>
      </c>
      <c r="C22" s="11" t="s">
        <v>59</v>
      </c>
      <c r="D22" s="11" t="s">
        <v>60</v>
      </c>
      <c r="E22" s="11" t="n">
        <v>17</v>
      </c>
      <c r="F22" s="12" t="n">
        <v>8500</v>
      </c>
      <c r="G22" s="12" t="n">
        <f aca="false">E22*F22</f>
        <v>144500</v>
      </c>
    </row>
    <row r="23" customFormat="false" ht="14.25" hidden="false" customHeight="true" outlineLevel="0" collapsed="false">
      <c r="A23" s="10" t="n">
        <v>45664</v>
      </c>
      <c r="B23" s="11" t="s">
        <v>45</v>
      </c>
      <c r="C23" s="11" t="s">
        <v>46</v>
      </c>
      <c r="D23" s="11" t="s">
        <v>58</v>
      </c>
      <c r="E23" s="11" t="n">
        <v>11</v>
      </c>
      <c r="F23" s="12" t="n">
        <v>4500</v>
      </c>
      <c r="G23" s="12" t="n">
        <f aca="false">E23*F23</f>
        <v>49500</v>
      </c>
    </row>
    <row r="24" customFormat="false" ht="14.25" hidden="false" customHeight="true" outlineLevel="0" collapsed="false">
      <c r="A24" s="10" t="n">
        <v>45664</v>
      </c>
      <c r="B24" s="11" t="s">
        <v>54</v>
      </c>
      <c r="C24" s="11" t="s">
        <v>59</v>
      </c>
      <c r="D24" s="11" t="s">
        <v>61</v>
      </c>
      <c r="E24" s="11" t="n">
        <v>17</v>
      </c>
      <c r="F24" s="12" t="n">
        <v>27500</v>
      </c>
      <c r="G24" s="12" t="n">
        <f aca="false">E24*F24</f>
        <v>467500</v>
      </c>
    </row>
    <row r="25" customFormat="false" ht="14.25" hidden="false" customHeight="true" outlineLevel="0" collapsed="false">
      <c r="A25" s="10" t="n">
        <v>45665</v>
      </c>
      <c r="B25" s="11" t="s">
        <v>56</v>
      </c>
      <c r="C25" s="11" t="s">
        <v>43</v>
      </c>
      <c r="D25" s="11" t="s">
        <v>62</v>
      </c>
      <c r="E25" s="11" t="n">
        <v>10</v>
      </c>
      <c r="F25" s="12" t="n">
        <v>67000</v>
      </c>
      <c r="G25" s="12" t="n">
        <f aca="false">E25*F25</f>
        <v>670000</v>
      </c>
    </row>
    <row r="26" customFormat="false" ht="14.25" hidden="false" customHeight="true" outlineLevel="0" collapsed="false">
      <c r="A26" s="10" t="n">
        <v>45665</v>
      </c>
      <c r="B26" s="11" t="s">
        <v>45</v>
      </c>
      <c r="C26" s="11" t="s">
        <v>43</v>
      </c>
      <c r="D26" s="11" t="s">
        <v>44</v>
      </c>
      <c r="E26" s="11" t="n">
        <v>15</v>
      </c>
      <c r="F26" s="12" t="n">
        <v>14000</v>
      </c>
      <c r="G26" s="12" t="n">
        <f aca="false">E26*F26</f>
        <v>210000</v>
      </c>
    </row>
    <row r="27" customFormat="false" ht="14.25" hidden="false" customHeight="true" outlineLevel="0" collapsed="false">
      <c r="A27" s="10" t="n">
        <v>45665</v>
      </c>
      <c r="B27" s="11" t="s">
        <v>48</v>
      </c>
      <c r="C27" s="11" t="s">
        <v>59</v>
      </c>
      <c r="D27" s="11" t="s">
        <v>63</v>
      </c>
      <c r="E27" s="11" t="n">
        <v>13</v>
      </c>
      <c r="F27" s="12" t="n">
        <v>14000</v>
      </c>
      <c r="G27" s="12" t="n">
        <f aca="false">E27*F27</f>
        <v>182000</v>
      </c>
    </row>
    <row r="28" customFormat="false" ht="14.25" hidden="false" customHeight="true" outlineLevel="0" collapsed="false">
      <c r="A28" s="10" t="n">
        <v>45666</v>
      </c>
      <c r="B28" s="11" t="s">
        <v>48</v>
      </c>
      <c r="C28" s="11" t="s">
        <v>43</v>
      </c>
      <c r="D28" s="11" t="s">
        <v>62</v>
      </c>
      <c r="E28" s="11" t="n">
        <v>15</v>
      </c>
      <c r="F28" s="12" t="n">
        <v>62000</v>
      </c>
      <c r="G28" s="12" t="n">
        <f aca="false">E28*F28</f>
        <v>930000</v>
      </c>
    </row>
    <row r="29" customFormat="false" ht="14.25" hidden="false" customHeight="true" outlineLevel="0" collapsed="false">
      <c r="A29" s="10" t="n">
        <v>45667</v>
      </c>
      <c r="B29" s="11" t="s">
        <v>42</v>
      </c>
      <c r="C29" s="11" t="s">
        <v>43</v>
      </c>
      <c r="D29" s="11" t="s">
        <v>62</v>
      </c>
      <c r="E29" s="11" t="n">
        <v>12</v>
      </c>
      <c r="F29" s="12" t="n">
        <v>68000</v>
      </c>
      <c r="G29" s="12" t="n">
        <f aca="false">E29*F29</f>
        <v>816000</v>
      </c>
    </row>
    <row r="30" customFormat="false" ht="14.25" hidden="false" customHeight="true" outlineLevel="0" collapsed="false">
      <c r="A30" s="10" t="n">
        <v>45668</v>
      </c>
      <c r="B30" s="11" t="s">
        <v>42</v>
      </c>
      <c r="C30" s="11" t="s">
        <v>43</v>
      </c>
      <c r="D30" s="11" t="s">
        <v>62</v>
      </c>
      <c r="E30" s="11" t="n">
        <v>12</v>
      </c>
      <c r="F30" s="12" t="n">
        <v>63000</v>
      </c>
      <c r="G30" s="12" t="n">
        <f aca="false">E30*F30</f>
        <v>756000</v>
      </c>
    </row>
    <row r="31" customFormat="false" ht="14.25" hidden="false" customHeight="true" outlineLevel="0" collapsed="false">
      <c r="A31" s="10" t="n">
        <v>45669</v>
      </c>
      <c r="B31" s="11" t="s">
        <v>56</v>
      </c>
      <c r="C31" s="11" t="s">
        <v>46</v>
      </c>
      <c r="D31" s="11" t="s">
        <v>53</v>
      </c>
      <c r="E31" s="11" t="n">
        <v>2</v>
      </c>
      <c r="F31" s="12" t="n">
        <v>3500</v>
      </c>
      <c r="G31" s="12" t="n">
        <f aca="false">E31*F31</f>
        <v>7000</v>
      </c>
    </row>
    <row r="32" customFormat="false" ht="14.25" hidden="false" customHeight="true" outlineLevel="0" collapsed="false">
      <c r="A32" s="10" t="n">
        <v>45670</v>
      </c>
      <c r="B32" s="11" t="s">
        <v>48</v>
      </c>
      <c r="C32" s="11" t="s">
        <v>59</v>
      </c>
      <c r="D32" s="11" t="s">
        <v>63</v>
      </c>
      <c r="E32" s="11" t="n">
        <v>2</v>
      </c>
      <c r="F32" s="12" t="n">
        <v>13000</v>
      </c>
      <c r="G32" s="12" t="n">
        <f aca="false">E32*F32</f>
        <v>26000</v>
      </c>
    </row>
    <row r="33" customFormat="false" ht="14.25" hidden="false" customHeight="true" outlineLevel="0" collapsed="false">
      <c r="A33" s="10" t="n">
        <v>45670</v>
      </c>
      <c r="B33" s="11" t="s">
        <v>54</v>
      </c>
      <c r="C33" s="11" t="s">
        <v>59</v>
      </c>
      <c r="D33" s="11" t="s">
        <v>60</v>
      </c>
      <c r="E33" s="11" t="n">
        <v>10</v>
      </c>
      <c r="F33" s="12" t="n">
        <v>8500</v>
      </c>
      <c r="G33" s="12" t="n">
        <f aca="false">E33*F33</f>
        <v>85000</v>
      </c>
    </row>
    <row r="34" customFormat="false" ht="14.25" hidden="false" customHeight="true" outlineLevel="0" collapsed="false">
      <c r="A34" s="10" t="n">
        <v>45671</v>
      </c>
      <c r="B34" s="11" t="s">
        <v>45</v>
      </c>
      <c r="C34" s="11" t="s">
        <v>43</v>
      </c>
      <c r="D34" s="11" t="s">
        <v>55</v>
      </c>
      <c r="E34" s="11" t="n">
        <v>20</v>
      </c>
      <c r="F34" s="12" t="n">
        <v>29000</v>
      </c>
      <c r="G34" s="12" t="n">
        <f aca="false">E34*F34</f>
        <v>580000</v>
      </c>
    </row>
    <row r="35" customFormat="false" ht="14.25" hidden="false" customHeight="true" outlineLevel="0" collapsed="false">
      <c r="A35" s="10" t="n">
        <v>45672</v>
      </c>
      <c r="B35" s="11" t="s">
        <v>48</v>
      </c>
      <c r="C35" s="11" t="s">
        <v>43</v>
      </c>
      <c r="D35" s="11" t="s">
        <v>55</v>
      </c>
      <c r="E35" s="11" t="n">
        <v>4</v>
      </c>
      <c r="F35" s="12" t="n">
        <v>27000</v>
      </c>
      <c r="G35" s="12" t="n">
        <f aca="false">E35*F35</f>
        <v>108000</v>
      </c>
    </row>
    <row r="36" customFormat="false" ht="14.25" hidden="false" customHeight="true" outlineLevel="0" collapsed="false">
      <c r="A36" s="10" t="n">
        <v>45672</v>
      </c>
      <c r="B36" s="11" t="s">
        <v>56</v>
      </c>
      <c r="C36" s="11" t="s">
        <v>43</v>
      </c>
      <c r="D36" s="11" t="s">
        <v>55</v>
      </c>
      <c r="E36" s="11" t="n">
        <v>5</v>
      </c>
      <c r="F36" s="12" t="n">
        <v>28000</v>
      </c>
      <c r="G36" s="12" t="n">
        <f aca="false">E36*F36</f>
        <v>140000</v>
      </c>
    </row>
    <row r="37" customFormat="false" ht="14.25" hidden="false" customHeight="true" outlineLevel="0" collapsed="false">
      <c r="A37" s="10" t="n">
        <v>45673</v>
      </c>
      <c r="B37" s="11" t="s">
        <v>56</v>
      </c>
      <c r="C37" s="11" t="s">
        <v>43</v>
      </c>
      <c r="D37" s="11" t="s">
        <v>62</v>
      </c>
      <c r="E37" s="11" t="n">
        <v>10</v>
      </c>
      <c r="F37" s="12" t="n">
        <v>63500</v>
      </c>
      <c r="G37" s="12" t="n">
        <f aca="false">E37*F37</f>
        <v>635000</v>
      </c>
    </row>
    <row r="38" customFormat="false" ht="14.25" hidden="false" customHeight="true" outlineLevel="0" collapsed="false">
      <c r="A38" s="10" t="n">
        <v>45674</v>
      </c>
      <c r="B38" s="11" t="s">
        <v>56</v>
      </c>
      <c r="C38" s="11" t="s">
        <v>59</v>
      </c>
      <c r="D38" s="11" t="s">
        <v>64</v>
      </c>
      <c r="E38" s="11" t="n">
        <v>10</v>
      </c>
      <c r="F38" s="12" t="n">
        <v>10000</v>
      </c>
      <c r="G38" s="12" t="n">
        <f aca="false">E38*F38</f>
        <v>100000</v>
      </c>
    </row>
    <row r="39" customFormat="false" ht="14.25" hidden="false" customHeight="true" outlineLevel="0" collapsed="false">
      <c r="A39" s="10" t="n">
        <v>45674</v>
      </c>
      <c r="B39" s="11" t="s">
        <v>42</v>
      </c>
      <c r="C39" s="11" t="s">
        <v>49</v>
      </c>
      <c r="D39" s="11" t="s">
        <v>57</v>
      </c>
      <c r="E39" s="11" t="n">
        <v>15</v>
      </c>
      <c r="F39" s="12" t="n">
        <v>4500</v>
      </c>
      <c r="G39" s="12" t="n">
        <f aca="false">E39*F39</f>
        <v>67500</v>
      </c>
    </row>
    <row r="40" customFormat="false" ht="14.25" hidden="false" customHeight="true" outlineLevel="0" collapsed="false">
      <c r="A40" s="10" t="n">
        <v>45675</v>
      </c>
      <c r="B40" s="11" t="s">
        <v>54</v>
      </c>
      <c r="C40" s="11" t="s">
        <v>49</v>
      </c>
      <c r="D40" s="11" t="s">
        <v>57</v>
      </c>
      <c r="E40" s="11" t="n">
        <v>12</v>
      </c>
      <c r="F40" s="12" t="n">
        <v>4000</v>
      </c>
      <c r="G40" s="12" t="n">
        <f aca="false">E40*F40</f>
        <v>48000</v>
      </c>
    </row>
    <row r="41" customFormat="false" ht="14.25" hidden="false" customHeight="true" outlineLevel="0" collapsed="false">
      <c r="A41" s="10" t="n">
        <v>45675</v>
      </c>
      <c r="B41" s="11" t="s">
        <v>48</v>
      </c>
      <c r="C41" s="11" t="s">
        <v>46</v>
      </c>
      <c r="D41" s="11" t="s">
        <v>53</v>
      </c>
      <c r="E41" s="11" t="n">
        <v>4</v>
      </c>
      <c r="F41" s="12" t="n">
        <v>3500</v>
      </c>
      <c r="G41" s="12" t="n">
        <f aca="false">E41*F41</f>
        <v>14000</v>
      </c>
    </row>
    <row r="42" customFormat="false" ht="14.25" hidden="false" customHeight="true" outlineLevel="0" collapsed="false">
      <c r="A42" s="10" t="n">
        <v>45675</v>
      </c>
      <c r="B42" s="11" t="s">
        <v>54</v>
      </c>
      <c r="C42" s="11" t="s">
        <v>59</v>
      </c>
      <c r="D42" s="11" t="s">
        <v>63</v>
      </c>
      <c r="E42" s="11" t="n">
        <v>6</v>
      </c>
      <c r="F42" s="12" t="n">
        <v>12500</v>
      </c>
      <c r="G42" s="12" t="n">
        <f aca="false">E42*F42</f>
        <v>75000</v>
      </c>
    </row>
    <row r="43" customFormat="false" ht="14.25" hidden="false" customHeight="true" outlineLevel="0" collapsed="false">
      <c r="A43" s="10" t="n">
        <v>45675</v>
      </c>
      <c r="B43" s="11" t="s">
        <v>45</v>
      </c>
      <c r="C43" s="11" t="s">
        <v>43</v>
      </c>
      <c r="D43" s="11" t="s">
        <v>62</v>
      </c>
      <c r="E43" s="11" t="n">
        <v>7</v>
      </c>
      <c r="F43" s="12" t="n">
        <v>63000</v>
      </c>
      <c r="G43" s="12" t="n">
        <f aca="false">E43*F43</f>
        <v>441000</v>
      </c>
    </row>
    <row r="44" customFormat="false" ht="14.25" hidden="false" customHeight="true" outlineLevel="0" collapsed="false">
      <c r="A44" s="10" t="n">
        <v>45676</v>
      </c>
      <c r="B44" s="11" t="s">
        <v>56</v>
      </c>
      <c r="C44" s="11" t="s">
        <v>43</v>
      </c>
      <c r="D44" s="11" t="s">
        <v>62</v>
      </c>
      <c r="E44" s="11" t="n">
        <v>7</v>
      </c>
      <c r="F44" s="12" t="n">
        <v>67000</v>
      </c>
      <c r="G44" s="12" t="n">
        <f aca="false">E44*F44</f>
        <v>469000</v>
      </c>
    </row>
    <row r="45" customFormat="false" ht="14.25" hidden="false" customHeight="true" outlineLevel="0" collapsed="false">
      <c r="A45" s="10" t="n">
        <v>45676</v>
      </c>
      <c r="B45" s="11" t="s">
        <v>56</v>
      </c>
      <c r="C45" s="11" t="s">
        <v>43</v>
      </c>
      <c r="D45" s="11" t="s">
        <v>62</v>
      </c>
      <c r="E45" s="11" t="n">
        <v>14</v>
      </c>
      <c r="F45" s="12" t="n">
        <v>67500</v>
      </c>
      <c r="G45" s="12" t="n">
        <f aca="false">E45*F45</f>
        <v>945000</v>
      </c>
    </row>
    <row r="46" customFormat="false" ht="14.25" hidden="false" customHeight="true" outlineLevel="0" collapsed="false">
      <c r="A46" s="10" t="n">
        <v>45676</v>
      </c>
      <c r="B46" s="11" t="s">
        <v>56</v>
      </c>
      <c r="C46" s="11" t="s">
        <v>49</v>
      </c>
      <c r="D46" s="11" t="s">
        <v>52</v>
      </c>
      <c r="E46" s="11" t="n">
        <v>15</v>
      </c>
      <c r="F46" s="12" t="n">
        <v>16500</v>
      </c>
      <c r="G46" s="12" t="n">
        <f aca="false">E46*F46</f>
        <v>247500</v>
      </c>
    </row>
    <row r="47" customFormat="false" ht="14.25" hidden="false" customHeight="true" outlineLevel="0" collapsed="false">
      <c r="A47" s="10" t="n">
        <v>45676</v>
      </c>
      <c r="B47" s="11" t="s">
        <v>56</v>
      </c>
      <c r="C47" s="11" t="s">
        <v>59</v>
      </c>
      <c r="D47" s="11" t="s">
        <v>61</v>
      </c>
      <c r="E47" s="11" t="n">
        <v>3</v>
      </c>
      <c r="F47" s="12" t="n">
        <v>27000</v>
      </c>
      <c r="G47" s="12" t="n">
        <f aca="false">E47*F47</f>
        <v>81000</v>
      </c>
    </row>
    <row r="48" customFormat="false" ht="14.25" hidden="false" customHeight="true" outlineLevel="0" collapsed="false">
      <c r="A48" s="10" t="n">
        <v>45676</v>
      </c>
      <c r="B48" s="11" t="s">
        <v>48</v>
      </c>
      <c r="C48" s="11" t="s">
        <v>49</v>
      </c>
      <c r="D48" s="11" t="s">
        <v>65</v>
      </c>
      <c r="E48" s="11" t="n">
        <v>9</v>
      </c>
      <c r="F48" s="12" t="n">
        <v>17000</v>
      </c>
      <c r="G48" s="12" t="n">
        <f aca="false">E48*F48</f>
        <v>153000</v>
      </c>
    </row>
    <row r="49" customFormat="false" ht="14.25" hidden="false" customHeight="true" outlineLevel="0" collapsed="false">
      <c r="A49" s="10" t="n">
        <v>45676</v>
      </c>
      <c r="B49" s="11" t="s">
        <v>45</v>
      </c>
      <c r="C49" s="11" t="s">
        <v>49</v>
      </c>
      <c r="D49" s="11" t="s">
        <v>52</v>
      </c>
      <c r="E49" s="11" t="n">
        <v>14</v>
      </c>
      <c r="F49" s="12" t="n">
        <v>14500</v>
      </c>
      <c r="G49" s="12" t="n">
        <f aca="false">E49*F49</f>
        <v>203000</v>
      </c>
    </row>
    <row r="50" customFormat="false" ht="14.25" hidden="false" customHeight="true" outlineLevel="0" collapsed="false">
      <c r="A50" s="10" t="n">
        <v>45676</v>
      </c>
      <c r="B50" s="11" t="s">
        <v>54</v>
      </c>
      <c r="C50" s="11" t="s">
        <v>43</v>
      </c>
      <c r="D50" s="11" t="s">
        <v>62</v>
      </c>
      <c r="E50" s="11" t="n">
        <v>4</v>
      </c>
      <c r="F50" s="12" t="n">
        <v>65500</v>
      </c>
      <c r="G50" s="12" t="n">
        <f aca="false">E50*F50</f>
        <v>262000</v>
      </c>
    </row>
    <row r="51" customFormat="false" ht="14.25" hidden="false" customHeight="true" outlineLevel="0" collapsed="false">
      <c r="A51" s="10" t="n">
        <v>45676</v>
      </c>
      <c r="B51" s="11" t="s">
        <v>56</v>
      </c>
      <c r="C51" s="11" t="s">
        <v>43</v>
      </c>
      <c r="D51" s="11" t="s">
        <v>44</v>
      </c>
      <c r="E51" s="11" t="n">
        <v>6</v>
      </c>
      <c r="F51" s="12" t="n">
        <v>12500</v>
      </c>
      <c r="G51" s="12" t="n">
        <f aca="false">E51*F51</f>
        <v>75000</v>
      </c>
    </row>
    <row r="52" customFormat="false" ht="14.25" hidden="false" customHeight="true" outlineLevel="0" collapsed="false">
      <c r="A52" s="10" t="n">
        <v>45677</v>
      </c>
      <c r="B52" s="11" t="s">
        <v>56</v>
      </c>
      <c r="C52" s="11" t="s">
        <v>49</v>
      </c>
      <c r="D52" s="11" t="s">
        <v>52</v>
      </c>
      <c r="E52" s="11" t="n">
        <v>16</v>
      </c>
      <c r="F52" s="12" t="n">
        <v>16000</v>
      </c>
      <c r="G52" s="12" t="n">
        <f aca="false">E52*F52</f>
        <v>256000</v>
      </c>
    </row>
    <row r="53" customFormat="false" ht="14.25" hidden="false" customHeight="true" outlineLevel="0" collapsed="false">
      <c r="A53" s="10" t="n">
        <v>45677</v>
      </c>
      <c r="B53" s="11" t="s">
        <v>56</v>
      </c>
      <c r="C53" s="11" t="s">
        <v>59</v>
      </c>
      <c r="D53" s="11" t="s">
        <v>64</v>
      </c>
      <c r="E53" s="11" t="n">
        <v>4</v>
      </c>
      <c r="F53" s="12" t="n">
        <v>11000</v>
      </c>
      <c r="G53" s="12" t="n">
        <f aca="false">E53*F53</f>
        <v>44000</v>
      </c>
    </row>
    <row r="54" customFormat="false" ht="14.25" hidden="false" customHeight="true" outlineLevel="0" collapsed="false">
      <c r="A54" s="10" t="n">
        <v>45677</v>
      </c>
      <c r="B54" s="11" t="s">
        <v>45</v>
      </c>
      <c r="C54" s="11" t="s">
        <v>49</v>
      </c>
      <c r="D54" s="11" t="s">
        <v>52</v>
      </c>
      <c r="E54" s="11" t="n">
        <v>11</v>
      </c>
      <c r="F54" s="12" t="n">
        <v>15500</v>
      </c>
      <c r="G54" s="12" t="n">
        <f aca="false">E54*F54</f>
        <v>170500</v>
      </c>
    </row>
    <row r="55" customFormat="false" ht="14.25" hidden="false" customHeight="true" outlineLevel="0" collapsed="false">
      <c r="A55" s="10" t="n">
        <v>45677</v>
      </c>
      <c r="B55" s="11" t="s">
        <v>56</v>
      </c>
      <c r="C55" s="11" t="s">
        <v>46</v>
      </c>
      <c r="D55" s="11" t="s">
        <v>66</v>
      </c>
      <c r="E55" s="11" t="n">
        <v>10</v>
      </c>
      <c r="F55" s="12" t="n">
        <v>11000</v>
      </c>
      <c r="G55" s="12" t="n">
        <f aca="false">E55*F55</f>
        <v>110000</v>
      </c>
    </row>
    <row r="56" customFormat="false" ht="14.25" hidden="false" customHeight="true" outlineLevel="0" collapsed="false">
      <c r="A56" s="10" t="n">
        <v>45677</v>
      </c>
      <c r="B56" s="11" t="s">
        <v>48</v>
      </c>
      <c r="C56" s="11" t="s">
        <v>43</v>
      </c>
      <c r="D56" s="11" t="s">
        <v>62</v>
      </c>
      <c r="E56" s="11" t="n">
        <v>11</v>
      </c>
      <c r="F56" s="12" t="n">
        <v>64500</v>
      </c>
      <c r="G56" s="12" t="n">
        <f aca="false">E56*F56</f>
        <v>709500</v>
      </c>
    </row>
    <row r="57" customFormat="false" ht="14.25" hidden="false" customHeight="true" outlineLevel="0" collapsed="false">
      <c r="A57" s="10" t="n">
        <v>45677</v>
      </c>
      <c r="B57" s="11" t="s">
        <v>45</v>
      </c>
      <c r="C57" s="11" t="s">
        <v>46</v>
      </c>
      <c r="D57" s="11" t="s">
        <v>58</v>
      </c>
      <c r="E57" s="11" t="n">
        <v>18</v>
      </c>
      <c r="F57" s="12" t="n">
        <v>4000</v>
      </c>
      <c r="G57" s="12" t="n">
        <f aca="false">E57*F57</f>
        <v>72000</v>
      </c>
    </row>
    <row r="58" customFormat="false" ht="14.25" hidden="false" customHeight="true" outlineLevel="0" collapsed="false">
      <c r="A58" s="10" t="n">
        <v>45677</v>
      </c>
      <c r="B58" s="11" t="s">
        <v>56</v>
      </c>
      <c r="C58" s="11" t="s">
        <v>59</v>
      </c>
      <c r="D58" s="11" t="s">
        <v>64</v>
      </c>
      <c r="E58" s="11" t="n">
        <v>9</v>
      </c>
      <c r="F58" s="12" t="n">
        <v>9000</v>
      </c>
      <c r="G58" s="12" t="n">
        <f aca="false">E58*F58</f>
        <v>81000</v>
      </c>
    </row>
    <row r="59" customFormat="false" ht="14.25" hidden="false" customHeight="true" outlineLevel="0" collapsed="false">
      <c r="A59" s="10" t="n">
        <v>45677</v>
      </c>
      <c r="B59" s="11" t="s">
        <v>54</v>
      </c>
      <c r="C59" s="11" t="s">
        <v>43</v>
      </c>
      <c r="D59" s="11" t="s">
        <v>51</v>
      </c>
      <c r="E59" s="11" t="n">
        <v>15</v>
      </c>
      <c r="F59" s="12" t="n">
        <v>3000</v>
      </c>
      <c r="G59" s="12" t="n">
        <f aca="false">E59*F59</f>
        <v>45000</v>
      </c>
    </row>
    <row r="60" customFormat="false" ht="14.25" hidden="false" customHeight="true" outlineLevel="0" collapsed="false">
      <c r="A60" s="10" t="n">
        <v>45677</v>
      </c>
      <c r="B60" s="11" t="s">
        <v>54</v>
      </c>
      <c r="C60" s="11" t="s">
        <v>49</v>
      </c>
      <c r="D60" s="11" t="s">
        <v>52</v>
      </c>
      <c r="E60" s="11" t="n">
        <v>8</v>
      </c>
      <c r="F60" s="12" t="n">
        <v>16500</v>
      </c>
      <c r="G60" s="12" t="n">
        <f aca="false">E60*F60</f>
        <v>132000</v>
      </c>
    </row>
    <row r="61" customFormat="false" ht="14.25" hidden="false" customHeight="true" outlineLevel="0" collapsed="false">
      <c r="A61" s="10" t="n">
        <v>45677</v>
      </c>
      <c r="B61" s="11" t="s">
        <v>56</v>
      </c>
      <c r="C61" s="11" t="s">
        <v>49</v>
      </c>
      <c r="D61" s="11" t="s">
        <v>57</v>
      </c>
      <c r="E61" s="11" t="n">
        <v>5</v>
      </c>
      <c r="F61" s="12" t="n">
        <v>5000</v>
      </c>
      <c r="G61" s="12" t="n">
        <f aca="false">E61*F61</f>
        <v>25000</v>
      </c>
    </row>
    <row r="62" customFormat="false" ht="14.25" hidden="false" customHeight="true" outlineLevel="0" collapsed="false">
      <c r="A62" s="10" t="n">
        <v>45678</v>
      </c>
      <c r="B62" s="11" t="s">
        <v>54</v>
      </c>
      <c r="C62" s="11" t="s">
        <v>59</v>
      </c>
      <c r="D62" s="11" t="s">
        <v>64</v>
      </c>
      <c r="E62" s="11" t="n">
        <v>5</v>
      </c>
      <c r="F62" s="12" t="n">
        <v>10500</v>
      </c>
      <c r="G62" s="12" t="n">
        <f aca="false">E62*F62</f>
        <v>52500</v>
      </c>
    </row>
    <row r="63" customFormat="false" ht="14.25" hidden="false" customHeight="true" outlineLevel="0" collapsed="false">
      <c r="A63" s="10" t="n">
        <v>45678</v>
      </c>
      <c r="B63" s="11" t="s">
        <v>45</v>
      </c>
      <c r="C63" s="11" t="s">
        <v>49</v>
      </c>
      <c r="D63" s="11" t="s">
        <v>65</v>
      </c>
      <c r="E63" s="11" t="n">
        <v>13</v>
      </c>
      <c r="F63" s="12" t="n">
        <v>17500</v>
      </c>
      <c r="G63" s="12" t="n">
        <f aca="false">E63*F63</f>
        <v>227500</v>
      </c>
    </row>
    <row r="64" customFormat="false" ht="14.25" hidden="false" customHeight="true" outlineLevel="0" collapsed="false">
      <c r="A64" s="10" t="n">
        <v>45678</v>
      </c>
      <c r="B64" s="11" t="s">
        <v>45</v>
      </c>
      <c r="C64" s="11" t="s">
        <v>43</v>
      </c>
      <c r="D64" s="11" t="s">
        <v>44</v>
      </c>
      <c r="E64" s="11" t="n">
        <v>18</v>
      </c>
      <c r="F64" s="12" t="n">
        <v>13000</v>
      </c>
      <c r="G64" s="12" t="n">
        <f aca="false">E64*F64</f>
        <v>234000</v>
      </c>
    </row>
    <row r="65" customFormat="false" ht="14.25" hidden="false" customHeight="true" outlineLevel="0" collapsed="false">
      <c r="A65" s="10" t="n">
        <v>45678</v>
      </c>
      <c r="B65" s="11" t="s">
        <v>45</v>
      </c>
      <c r="C65" s="11" t="s">
        <v>46</v>
      </c>
      <c r="D65" s="11" t="s">
        <v>58</v>
      </c>
      <c r="E65" s="11" t="n">
        <v>11</v>
      </c>
      <c r="F65" s="12" t="n">
        <v>4000</v>
      </c>
      <c r="G65" s="12" t="n">
        <f aca="false">E65*F65</f>
        <v>44000</v>
      </c>
    </row>
    <row r="66" customFormat="false" ht="14.25" hidden="false" customHeight="true" outlineLevel="0" collapsed="false">
      <c r="A66" s="10" t="n">
        <v>45678</v>
      </c>
      <c r="B66" s="11" t="s">
        <v>42</v>
      </c>
      <c r="C66" s="11" t="s">
        <v>46</v>
      </c>
      <c r="D66" s="11" t="s">
        <v>53</v>
      </c>
      <c r="E66" s="11" t="n">
        <v>9</v>
      </c>
      <c r="F66" s="12" t="n">
        <v>3000</v>
      </c>
      <c r="G66" s="12" t="n">
        <f aca="false">E66*F66</f>
        <v>27000</v>
      </c>
    </row>
    <row r="67" customFormat="false" ht="14.25" hidden="false" customHeight="true" outlineLevel="0" collapsed="false">
      <c r="A67" s="10" t="n">
        <v>45678</v>
      </c>
      <c r="B67" s="11" t="s">
        <v>42</v>
      </c>
      <c r="C67" s="11" t="s">
        <v>49</v>
      </c>
      <c r="D67" s="11" t="s">
        <v>52</v>
      </c>
      <c r="E67" s="11" t="n">
        <v>17</v>
      </c>
      <c r="F67" s="12" t="n">
        <v>17000</v>
      </c>
      <c r="G67" s="12" t="n">
        <f aca="false">E67*F67</f>
        <v>289000</v>
      </c>
    </row>
    <row r="68" customFormat="false" ht="14.25" hidden="false" customHeight="true" outlineLevel="0" collapsed="false">
      <c r="A68" s="10" t="n">
        <v>45679</v>
      </c>
      <c r="B68" s="11" t="s">
        <v>42</v>
      </c>
      <c r="C68" s="11" t="s">
        <v>49</v>
      </c>
      <c r="D68" s="11" t="s">
        <v>65</v>
      </c>
      <c r="E68" s="11" t="n">
        <v>7</v>
      </c>
      <c r="F68" s="12" t="n">
        <v>16500</v>
      </c>
      <c r="G68" s="12" t="n">
        <f aca="false">E68*F68</f>
        <v>115500</v>
      </c>
    </row>
    <row r="69" customFormat="false" ht="14.25" hidden="false" customHeight="true" outlineLevel="0" collapsed="false">
      <c r="A69" s="10" t="n">
        <v>45679</v>
      </c>
      <c r="B69" s="11" t="s">
        <v>42</v>
      </c>
      <c r="C69" s="11" t="s">
        <v>46</v>
      </c>
      <c r="D69" s="11" t="s">
        <v>66</v>
      </c>
      <c r="E69" s="11" t="n">
        <v>19</v>
      </c>
      <c r="F69" s="12" t="n">
        <v>11000</v>
      </c>
      <c r="G69" s="12" t="n">
        <f aca="false">E69*F69</f>
        <v>209000</v>
      </c>
    </row>
    <row r="70" customFormat="false" ht="14.25" hidden="false" customHeight="true" outlineLevel="0" collapsed="false">
      <c r="A70" s="10" t="n">
        <v>45679</v>
      </c>
      <c r="B70" s="11" t="s">
        <v>42</v>
      </c>
      <c r="C70" s="11" t="s">
        <v>43</v>
      </c>
      <c r="D70" s="11" t="s">
        <v>62</v>
      </c>
      <c r="E70" s="11" t="n">
        <v>7</v>
      </c>
      <c r="F70" s="12" t="n">
        <v>64000</v>
      </c>
      <c r="G70" s="12" t="n">
        <f aca="false">E70*F70</f>
        <v>448000</v>
      </c>
    </row>
    <row r="71" customFormat="false" ht="14.25" hidden="false" customHeight="true" outlineLevel="0" collapsed="false">
      <c r="A71" s="10" t="n">
        <v>45679</v>
      </c>
      <c r="B71" s="11" t="s">
        <v>56</v>
      </c>
      <c r="C71" s="11" t="s">
        <v>46</v>
      </c>
      <c r="D71" s="11" t="s">
        <v>53</v>
      </c>
      <c r="E71" s="11" t="n">
        <v>1</v>
      </c>
      <c r="F71" s="12" t="n">
        <v>3000</v>
      </c>
      <c r="G71" s="12" t="n">
        <f aca="false">E71*F71</f>
        <v>3000</v>
      </c>
    </row>
    <row r="72" customFormat="false" ht="14.25" hidden="false" customHeight="true" outlineLevel="0" collapsed="false">
      <c r="A72" s="10" t="n">
        <v>45679</v>
      </c>
      <c r="B72" s="11" t="s">
        <v>54</v>
      </c>
      <c r="C72" s="11" t="s">
        <v>46</v>
      </c>
      <c r="D72" s="11" t="s">
        <v>53</v>
      </c>
      <c r="E72" s="11" t="n">
        <v>10</v>
      </c>
      <c r="F72" s="12" t="n">
        <v>3000</v>
      </c>
      <c r="G72" s="12" t="n">
        <f aca="false">E72*F72</f>
        <v>30000</v>
      </c>
    </row>
    <row r="73" customFormat="false" ht="14.25" hidden="false" customHeight="true" outlineLevel="0" collapsed="false">
      <c r="A73" s="10" t="n">
        <v>45680</v>
      </c>
      <c r="B73" s="11" t="s">
        <v>45</v>
      </c>
      <c r="C73" s="11" t="s">
        <v>59</v>
      </c>
      <c r="D73" s="11" t="s">
        <v>64</v>
      </c>
      <c r="E73" s="11" t="n">
        <v>4</v>
      </c>
      <c r="F73" s="12" t="n">
        <v>10500</v>
      </c>
      <c r="G73" s="12" t="n">
        <f aca="false">E73*F73</f>
        <v>42000</v>
      </c>
    </row>
    <row r="74" customFormat="false" ht="14.25" hidden="false" customHeight="true" outlineLevel="0" collapsed="false">
      <c r="A74" s="10" t="n">
        <v>45680</v>
      </c>
      <c r="B74" s="11" t="s">
        <v>56</v>
      </c>
      <c r="C74" s="11" t="s">
        <v>46</v>
      </c>
      <c r="D74" s="11" t="s">
        <v>58</v>
      </c>
      <c r="E74" s="11" t="n">
        <v>20</v>
      </c>
      <c r="F74" s="12" t="n">
        <v>4500</v>
      </c>
      <c r="G74" s="12" t="n">
        <f aca="false">E74*F74</f>
        <v>90000</v>
      </c>
    </row>
    <row r="75" customFormat="false" ht="14.25" hidden="false" customHeight="true" outlineLevel="0" collapsed="false">
      <c r="A75" s="10" t="n">
        <v>45680</v>
      </c>
      <c r="B75" s="11" t="s">
        <v>54</v>
      </c>
      <c r="C75" s="11" t="s">
        <v>43</v>
      </c>
      <c r="D75" s="11" t="s">
        <v>44</v>
      </c>
      <c r="E75" s="11" t="n">
        <v>13</v>
      </c>
      <c r="F75" s="12" t="n">
        <v>13000</v>
      </c>
      <c r="G75" s="12" t="n">
        <f aca="false">E75*F75</f>
        <v>169000</v>
      </c>
    </row>
    <row r="76" customFormat="false" ht="14.25" hidden="false" customHeight="true" outlineLevel="0" collapsed="false">
      <c r="A76" s="10" t="n">
        <v>45681</v>
      </c>
      <c r="B76" s="11" t="s">
        <v>45</v>
      </c>
      <c r="C76" s="11" t="s">
        <v>49</v>
      </c>
      <c r="D76" s="11" t="s">
        <v>50</v>
      </c>
      <c r="E76" s="11" t="n">
        <v>7</v>
      </c>
      <c r="F76" s="12" t="n">
        <v>18500</v>
      </c>
      <c r="G76" s="12" t="n">
        <f aca="false">E76*F76</f>
        <v>129500</v>
      </c>
    </row>
    <row r="77" customFormat="false" ht="14.25" hidden="false" customHeight="true" outlineLevel="0" collapsed="false">
      <c r="A77" s="10" t="n">
        <v>45681</v>
      </c>
      <c r="B77" s="11" t="s">
        <v>45</v>
      </c>
      <c r="C77" s="11" t="s">
        <v>49</v>
      </c>
      <c r="D77" s="11" t="s">
        <v>50</v>
      </c>
      <c r="E77" s="11" t="n">
        <v>4</v>
      </c>
      <c r="F77" s="12" t="n">
        <v>18500</v>
      </c>
      <c r="G77" s="12" t="n">
        <f aca="false">E77*F77</f>
        <v>74000</v>
      </c>
    </row>
    <row r="78" customFormat="false" ht="14.25" hidden="false" customHeight="true" outlineLevel="0" collapsed="false">
      <c r="A78" s="10" t="n">
        <v>45681</v>
      </c>
      <c r="B78" s="11" t="s">
        <v>54</v>
      </c>
      <c r="C78" s="11" t="s">
        <v>49</v>
      </c>
      <c r="D78" s="11" t="s">
        <v>50</v>
      </c>
      <c r="E78" s="11" t="n">
        <v>17</v>
      </c>
      <c r="F78" s="12" t="n">
        <v>19500</v>
      </c>
      <c r="G78" s="12" t="n">
        <f aca="false">E78*F78</f>
        <v>331500</v>
      </c>
    </row>
    <row r="79" customFormat="false" ht="14.25" hidden="false" customHeight="true" outlineLevel="0" collapsed="false">
      <c r="A79" s="10" t="n">
        <v>45681</v>
      </c>
      <c r="B79" s="11" t="s">
        <v>54</v>
      </c>
      <c r="C79" s="11" t="s">
        <v>59</v>
      </c>
      <c r="D79" s="11" t="s">
        <v>61</v>
      </c>
      <c r="E79" s="11" t="n">
        <v>3</v>
      </c>
      <c r="F79" s="12" t="n">
        <v>27000</v>
      </c>
      <c r="G79" s="12" t="n">
        <f aca="false">E79*F79</f>
        <v>81000</v>
      </c>
    </row>
    <row r="80" customFormat="false" ht="14.25" hidden="false" customHeight="true" outlineLevel="0" collapsed="false">
      <c r="A80" s="10" t="n">
        <v>45682</v>
      </c>
      <c r="B80" s="11" t="s">
        <v>42</v>
      </c>
      <c r="C80" s="11" t="s">
        <v>46</v>
      </c>
      <c r="D80" s="11" t="s">
        <v>58</v>
      </c>
      <c r="E80" s="11" t="n">
        <v>14</v>
      </c>
      <c r="F80" s="12" t="n">
        <v>5000</v>
      </c>
      <c r="G80" s="12" t="n">
        <f aca="false">E80*F80</f>
        <v>70000</v>
      </c>
    </row>
    <row r="81" customFormat="false" ht="14.25" hidden="false" customHeight="true" outlineLevel="0" collapsed="false">
      <c r="A81" s="10" t="n">
        <v>45683</v>
      </c>
      <c r="B81" s="11" t="s">
        <v>56</v>
      </c>
      <c r="C81" s="11" t="s">
        <v>43</v>
      </c>
      <c r="D81" s="11" t="s">
        <v>62</v>
      </c>
      <c r="E81" s="11" t="n">
        <v>14</v>
      </c>
      <c r="F81" s="12" t="n">
        <v>67000</v>
      </c>
      <c r="G81" s="12" t="n">
        <f aca="false">E81*F81</f>
        <v>938000</v>
      </c>
    </row>
    <row r="82" customFormat="false" ht="14.25" hidden="false" customHeight="true" outlineLevel="0" collapsed="false">
      <c r="A82" s="10" t="n">
        <v>45683</v>
      </c>
      <c r="B82" s="11" t="s">
        <v>56</v>
      </c>
      <c r="C82" s="11" t="s">
        <v>49</v>
      </c>
      <c r="D82" s="11" t="s">
        <v>50</v>
      </c>
      <c r="E82" s="11" t="n">
        <v>18</v>
      </c>
      <c r="F82" s="12" t="n">
        <v>18500</v>
      </c>
      <c r="G82" s="12" t="n">
        <f aca="false">E82*F82</f>
        <v>333000</v>
      </c>
    </row>
    <row r="83" customFormat="false" ht="14.25" hidden="false" customHeight="true" outlineLevel="0" collapsed="false">
      <c r="A83" s="10" t="n">
        <v>45683</v>
      </c>
      <c r="B83" s="11" t="s">
        <v>42</v>
      </c>
      <c r="C83" s="11" t="s">
        <v>46</v>
      </c>
      <c r="D83" s="11" t="s">
        <v>47</v>
      </c>
      <c r="E83" s="11" t="n">
        <v>2</v>
      </c>
      <c r="F83" s="12" t="n">
        <v>19500</v>
      </c>
      <c r="G83" s="12" t="n">
        <f aca="false">E83*F83</f>
        <v>39000</v>
      </c>
    </row>
    <row r="84" customFormat="false" ht="14.25" hidden="false" customHeight="true" outlineLevel="0" collapsed="false">
      <c r="A84" s="10" t="n">
        <v>45683</v>
      </c>
      <c r="B84" s="11" t="s">
        <v>45</v>
      </c>
      <c r="C84" s="11" t="s">
        <v>49</v>
      </c>
      <c r="D84" s="11" t="s">
        <v>65</v>
      </c>
      <c r="E84" s="11" t="n">
        <v>11</v>
      </c>
      <c r="F84" s="12" t="n">
        <v>17000</v>
      </c>
      <c r="G84" s="12" t="n">
        <f aca="false">E84*F84</f>
        <v>187000</v>
      </c>
    </row>
    <row r="85" customFormat="false" ht="14.25" hidden="false" customHeight="true" outlineLevel="0" collapsed="false">
      <c r="A85" s="10" t="n">
        <v>45683</v>
      </c>
      <c r="B85" s="11" t="s">
        <v>56</v>
      </c>
      <c r="C85" s="11" t="s">
        <v>49</v>
      </c>
      <c r="D85" s="11" t="s">
        <v>65</v>
      </c>
      <c r="E85" s="11" t="n">
        <v>5</v>
      </c>
      <c r="F85" s="12" t="n">
        <v>15000</v>
      </c>
      <c r="G85" s="12" t="n">
        <f aca="false">E85*F85</f>
        <v>75000</v>
      </c>
    </row>
    <row r="86" customFormat="false" ht="14.25" hidden="false" customHeight="true" outlineLevel="0" collapsed="false">
      <c r="A86" s="10" t="n">
        <v>45684</v>
      </c>
      <c r="B86" s="11" t="s">
        <v>54</v>
      </c>
      <c r="C86" s="11" t="s">
        <v>43</v>
      </c>
      <c r="D86" s="11" t="s">
        <v>51</v>
      </c>
      <c r="E86" s="11" t="n">
        <v>18</v>
      </c>
      <c r="F86" s="12" t="n">
        <v>3500</v>
      </c>
      <c r="G86" s="12" t="n">
        <f aca="false">E86*F86</f>
        <v>63000</v>
      </c>
    </row>
    <row r="87" customFormat="false" ht="14.25" hidden="false" customHeight="true" outlineLevel="0" collapsed="false">
      <c r="A87" s="10" t="n">
        <v>45684</v>
      </c>
      <c r="B87" s="11" t="s">
        <v>42</v>
      </c>
      <c r="C87" s="11" t="s">
        <v>59</v>
      </c>
      <c r="D87" s="11" t="s">
        <v>60</v>
      </c>
      <c r="E87" s="11" t="n">
        <v>6</v>
      </c>
      <c r="F87" s="12" t="n">
        <v>9000</v>
      </c>
      <c r="G87" s="12" t="n">
        <f aca="false">E87*F87</f>
        <v>54000</v>
      </c>
    </row>
    <row r="88" customFormat="false" ht="14.25" hidden="false" customHeight="true" outlineLevel="0" collapsed="false">
      <c r="A88" s="10" t="n">
        <v>45684</v>
      </c>
      <c r="B88" s="11" t="s">
        <v>48</v>
      </c>
      <c r="C88" s="11" t="s">
        <v>43</v>
      </c>
      <c r="D88" s="11" t="s">
        <v>51</v>
      </c>
      <c r="E88" s="11" t="n">
        <v>8</v>
      </c>
      <c r="F88" s="12" t="n">
        <v>3000</v>
      </c>
      <c r="G88" s="12" t="n">
        <f aca="false">E88*F88</f>
        <v>24000</v>
      </c>
    </row>
    <row r="89" customFormat="false" ht="14.25" hidden="false" customHeight="true" outlineLevel="0" collapsed="false">
      <c r="A89" s="10" t="n">
        <v>45684</v>
      </c>
      <c r="B89" s="11" t="s">
        <v>54</v>
      </c>
      <c r="C89" s="11" t="s">
        <v>46</v>
      </c>
      <c r="D89" s="11" t="s">
        <v>53</v>
      </c>
      <c r="E89" s="11" t="n">
        <v>18</v>
      </c>
      <c r="F89" s="12" t="n">
        <v>4000</v>
      </c>
      <c r="G89" s="12" t="n">
        <f aca="false">E89*F89</f>
        <v>72000</v>
      </c>
    </row>
    <row r="90" customFormat="false" ht="14.25" hidden="false" customHeight="true" outlineLevel="0" collapsed="false">
      <c r="A90" s="10" t="n">
        <v>45685</v>
      </c>
      <c r="B90" s="11" t="s">
        <v>42</v>
      </c>
      <c r="C90" s="11" t="s">
        <v>59</v>
      </c>
      <c r="D90" s="11" t="s">
        <v>61</v>
      </c>
      <c r="E90" s="11" t="n">
        <v>16</v>
      </c>
      <c r="F90" s="12" t="n">
        <v>28500</v>
      </c>
      <c r="G90" s="12" t="n">
        <f aca="false">E90*F90</f>
        <v>456000</v>
      </c>
    </row>
    <row r="91" customFormat="false" ht="14.25" hidden="false" customHeight="true" outlineLevel="0" collapsed="false">
      <c r="A91" s="10" t="n">
        <v>45685</v>
      </c>
      <c r="B91" s="11" t="s">
        <v>45</v>
      </c>
      <c r="C91" s="11" t="s">
        <v>59</v>
      </c>
      <c r="D91" s="11" t="s">
        <v>63</v>
      </c>
      <c r="E91" s="11" t="n">
        <v>7</v>
      </c>
      <c r="F91" s="12" t="n">
        <v>12000</v>
      </c>
      <c r="G91" s="12" t="n">
        <f aca="false">E91*F91</f>
        <v>84000</v>
      </c>
    </row>
    <row r="92" customFormat="false" ht="14.25" hidden="false" customHeight="true" outlineLevel="0" collapsed="false">
      <c r="A92" s="10" t="n">
        <v>45686</v>
      </c>
      <c r="B92" s="11" t="s">
        <v>45</v>
      </c>
      <c r="C92" s="11" t="s">
        <v>43</v>
      </c>
      <c r="D92" s="11" t="s">
        <v>55</v>
      </c>
      <c r="E92" s="11" t="n">
        <v>8</v>
      </c>
      <c r="F92" s="12" t="n">
        <v>27000</v>
      </c>
      <c r="G92" s="12" t="n">
        <f aca="false">E92*F92</f>
        <v>216000</v>
      </c>
    </row>
    <row r="93" customFormat="false" ht="14.25" hidden="false" customHeight="true" outlineLevel="0" collapsed="false">
      <c r="A93" s="10" t="n">
        <v>45686</v>
      </c>
      <c r="B93" s="11" t="s">
        <v>42</v>
      </c>
      <c r="C93" s="11" t="s">
        <v>49</v>
      </c>
      <c r="D93" s="11" t="s">
        <v>65</v>
      </c>
      <c r="E93" s="11" t="n">
        <v>18</v>
      </c>
      <c r="F93" s="12" t="n">
        <v>15000</v>
      </c>
      <c r="G93" s="12" t="n">
        <f aca="false">E93*F93</f>
        <v>270000</v>
      </c>
    </row>
    <row r="94" customFormat="false" ht="14.25" hidden="false" customHeight="true" outlineLevel="0" collapsed="false">
      <c r="A94" s="10" t="n">
        <v>45687</v>
      </c>
      <c r="B94" s="11" t="s">
        <v>45</v>
      </c>
      <c r="C94" s="11" t="s">
        <v>49</v>
      </c>
      <c r="D94" s="11" t="s">
        <v>52</v>
      </c>
      <c r="E94" s="11" t="n">
        <v>15</v>
      </c>
      <c r="F94" s="12" t="n">
        <v>16000</v>
      </c>
      <c r="G94" s="12" t="n">
        <f aca="false">E94*F94</f>
        <v>240000</v>
      </c>
    </row>
    <row r="95" customFormat="false" ht="14.25" hidden="false" customHeight="true" outlineLevel="0" collapsed="false">
      <c r="A95" s="10" t="n">
        <v>45687</v>
      </c>
      <c r="B95" s="11" t="s">
        <v>48</v>
      </c>
      <c r="C95" s="11" t="s">
        <v>59</v>
      </c>
      <c r="D95" s="11" t="s">
        <v>61</v>
      </c>
      <c r="E95" s="11" t="n">
        <v>6</v>
      </c>
      <c r="F95" s="12" t="n">
        <v>25000</v>
      </c>
      <c r="G95" s="12" t="n">
        <f aca="false">E95*F95</f>
        <v>150000</v>
      </c>
    </row>
    <row r="96" customFormat="false" ht="14.25" hidden="false" customHeight="true" outlineLevel="0" collapsed="false">
      <c r="A96" s="10" t="n">
        <v>45688</v>
      </c>
      <c r="B96" s="11" t="s">
        <v>45</v>
      </c>
      <c r="C96" s="11" t="s">
        <v>46</v>
      </c>
      <c r="D96" s="11" t="s">
        <v>53</v>
      </c>
      <c r="E96" s="11" t="n">
        <v>7</v>
      </c>
      <c r="F96" s="12" t="n">
        <v>3500</v>
      </c>
      <c r="G96" s="12" t="n">
        <f aca="false">E96*F96</f>
        <v>24500</v>
      </c>
    </row>
    <row r="97" customFormat="false" ht="14.25" hidden="false" customHeight="true" outlineLevel="0" collapsed="false">
      <c r="A97" s="10" t="n">
        <v>45690</v>
      </c>
      <c r="B97" s="11" t="s">
        <v>42</v>
      </c>
      <c r="C97" s="11" t="s">
        <v>46</v>
      </c>
      <c r="D97" s="11" t="s">
        <v>58</v>
      </c>
      <c r="E97" s="11" t="n">
        <v>17</v>
      </c>
      <c r="F97" s="12" t="n">
        <v>5000</v>
      </c>
      <c r="G97" s="12" t="n">
        <f aca="false">E97*F97</f>
        <v>85000</v>
      </c>
    </row>
    <row r="98" customFormat="false" ht="14.25" hidden="false" customHeight="true" outlineLevel="0" collapsed="false">
      <c r="A98" s="10" t="n">
        <v>45690</v>
      </c>
      <c r="B98" s="11" t="s">
        <v>42</v>
      </c>
      <c r="C98" s="11" t="s">
        <v>59</v>
      </c>
      <c r="D98" s="11" t="s">
        <v>61</v>
      </c>
      <c r="E98" s="11" t="n">
        <v>11</v>
      </c>
      <c r="F98" s="12" t="n">
        <v>27000</v>
      </c>
      <c r="G98" s="12" t="n">
        <f aca="false">E98*F98</f>
        <v>297000</v>
      </c>
    </row>
    <row r="99" customFormat="false" ht="14.25" hidden="false" customHeight="true" outlineLevel="0" collapsed="false">
      <c r="A99" s="10" t="n">
        <v>45690</v>
      </c>
      <c r="B99" s="11" t="s">
        <v>42</v>
      </c>
      <c r="C99" s="11" t="s">
        <v>59</v>
      </c>
      <c r="D99" s="11" t="s">
        <v>63</v>
      </c>
      <c r="E99" s="11" t="n">
        <v>12</v>
      </c>
      <c r="F99" s="12" t="n">
        <v>15000</v>
      </c>
      <c r="G99" s="12" t="n">
        <f aca="false">E99*F99</f>
        <v>180000</v>
      </c>
    </row>
    <row r="100" customFormat="false" ht="14.25" hidden="false" customHeight="true" outlineLevel="0" collapsed="false">
      <c r="A100" s="10" t="n">
        <v>45690</v>
      </c>
      <c r="B100" s="11" t="s">
        <v>45</v>
      </c>
      <c r="C100" s="11" t="s">
        <v>43</v>
      </c>
      <c r="D100" s="11" t="s">
        <v>62</v>
      </c>
      <c r="E100" s="11" t="n">
        <v>3</v>
      </c>
      <c r="F100" s="12" t="n">
        <v>66500</v>
      </c>
      <c r="G100" s="12" t="n">
        <f aca="false">E100*F100</f>
        <v>199500</v>
      </c>
    </row>
    <row r="101" customFormat="false" ht="14.25" hidden="false" customHeight="true" outlineLevel="0" collapsed="false">
      <c r="A101" s="10" t="n">
        <v>45690</v>
      </c>
      <c r="B101" s="11" t="s">
        <v>56</v>
      </c>
      <c r="C101" s="11" t="s">
        <v>59</v>
      </c>
      <c r="D101" s="11" t="s">
        <v>64</v>
      </c>
      <c r="E101" s="11" t="n">
        <v>2</v>
      </c>
      <c r="F101" s="12" t="n">
        <v>11000</v>
      </c>
      <c r="G101" s="12" t="n">
        <f aca="false">E101*F101</f>
        <v>22000</v>
      </c>
    </row>
    <row r="102" customFormat="false" ht="14.25" hidden="false" customHeight="true" outlineLevel="0" collapsed="false">
      <c r="A102" s="10" t="n">
        <v>45690</v>
      </c>
      <c r="B102" s="11" t="s">
        <v>45</v>
      </c>
      <c r="C102" s="11" t="s">
        <v>49</v>
      </c>
      <c r="D102" s="11" t="s">
        <v>65</v>
      </c>
      <c r="E102" s="11" t="n">
        <v>18</v>
      </c>
      <c r="F102" s="12" t="n">
        <v>15500</v>
      </c>
      <c r="G102" s="12" t="n">
        <f aca="false">E102*F102</f>
        <v>279000</v>
      </c>
    </row>
    <row r="103" customFormat="false" ht="14.25" hidden="false" customHeight="true" outlineLevel="0" collapsed="false">
      <c r="A103" s="10" t="n">
        <v>45691</v>
      </c>
      <c r="B103" s="11" t="s">
        <v>42</v>
      </c>
      <c r="C103" s="11" t="s">
        <v>49</v>
      </c>
      <c r="D103" s="11" t="s">
        <v>65</v>
      </c>
      <c r="E103" s="11" t="n">
        <v>17</v>
      </c>
      <c r="F103" s="12" t="n">
        <v>15500</v>
      </c>
      <c r="G103" s="12" t="n">
        <f aca="false">E103*F103</f>
        <v>263500</v>
      </c>
    </row>
    <row r="104" customFormat="false" ht="14.25" hidden="false" customHeight="true" outlineLevel="0" collapsed="false">
      <c r="A104" s="10" t="n">
        <v>45691</v>
      </c>
      <c r="B104" s="11" t="s">
        <v>54</v>
      </c>
      <c r="C104" s="11" t="s">
        <v>46</v>
      </c>
      <c r="D104" s="11" t="s">
        <v>47</v>
      </c>
      <c r="E104" s="11" t="n">
        <v>1</v>
      </c>
      <c r="F104" s="12" t="n">
        <v>17500</v>
      </c>
      <c r="G104" s="12" t="n">
        <f aca="false">E104*F104</f>
        <v>17500</v>
      </c>
    </row>
    <row r="105" customFormat="false" ht="14.25" hidden="false" customHeight="true" outlineLevel="0" collapsed="false">
      <c r="A105" s="10" t="n">
        <v>45691</v>
      </c>
      <c r="B105" s="11" t="s">
        <v>48</v>
      </c>
      <c r="C105" s="11" t="s">
        <v>46</v>
      </c>
      <c r="D105" s="11" t="s">
        <v>58</v>
      </c>
      <c r="E105" s="11" t="n">
        <v>11</v>
      </c>
      <c r="F105" s="12" t="n">
        <v>4000</v>
      </c>
      <c r="G105" s="12" t="n">
        <f aca="false">E105*F105</f>
        <v>44000</v>
      </c>
    </row>
    <row r="106" customFormat="false" ht="14.25" hidden="false" customHeight="true" outlineLevel="0" collapsed="false">
      <c r="A106" s="10" t="n">
        <v>45691</v>
      </c>
      <c r="B106" s="11" t="s">
        <v>56</v>
      </c>
      <c r="C106" s="11" t="s">
        <v>49</v>
      </c>
      <c r="D106" s="11" t="s">
        <v>50</v>
      </c>
      <c r="E106" s="11" t="n">
        <v>13</v>
      </c>
      <c r="F106" s="12" t="n">
        <v>21000</v>
      </c>
      <c r="G106" s="12" t="n">
        <f aca="false">E106*F106</f>
        <v>273000</v>
      </c>
    </row>
    <row r="107" customFormat="false" ht="14.25" hidden="false" customHeight="true" outlineLevel="0" collapsed="false">
      <c r="A107" s="10" t="n">
        <v>45691</v>
      </c>
      <c r="B107" s="11" t="s">
        <v>54</v>
      </c>
      <c r="C107" s="11" t="s">
        <v>49</v>
      </c>
      <c r="D107" s="11" t="s">
        <v>50</v>
      </c>
      <c r="E107" s="11" t="n">
        <v>11</v>
      </c>
      <c r="F107" s="12" t="n">
        <v>20500</v>
      </c>
      <c r="G107" s="12" t="n">
        <f aca="false">E107*F107</f>
        <v>225500</v>
      </c>
    </row>
    <row r="108" customFormat="false" ht="14.25" hidden="false" customHeight="true" outlineLevel="0" collapsed="false">
      <c r="A108" s="10" t="n">
        <v>45692</v>
      </c>
      <c r="B108" s="11" t="s">
        <v>45</v>
      </c>
      <c r="C108" s="11" t="s">
        <v>59</v>
      </c>
      <c r="D108" s="11" t="s">
        <v>63</v>
      </c>
      <c r="E108" s="11" t="n">
        <v>6</v>
      </c>
      <c r="F108" s="12" t="n">
        <v>13000</v>
      </c>
      <c r="G108" s="12" t="n">
        <f aca="false">E108*F108</f>
        <v>78000</v>
      </c>
    </row>
    <row r="109" customFormat="false" ht="14.25" hidden="false" customHeight="true" outlineLevel="0" collapsed="false">
      <c r="A109" s="10" t="n">
        <v>45693</v>
      </c>
      <c r="B109" s="11" t="s">
        <v>54</v>
      </c>
      <c r="C109" s="11" t="s">
        <v>49</v>
      </c>
      <c r="D109" s="11" t="s">
        <v>52</v>
      </c>
      <c r="E109" s="11" t="n">
        <v>8</v>
      </c>
      <c r="F109" s="12" t="n">
        <v>15500</v>
      </c>
      <c r="G109" s="12" t="n">
        <f aca="false">E109*F109</f>
        <v>124000</v>
      </c>
    </row>
    <row r="110" customFormat="false" ht="14.25" hidden="false" customHeight="true" outlineLevel="0" collapsed="false">
      <c r="A110" s="10" t="n">
        <v>45693</v>
      </c>
      <c r="B110" s="11" t="s">
        <v>45</v>
      </c>
      <c r="C110" s="11" t="s">
        <v>46</v>
      </c>
      <c r="D110" s="11" t="s">
        <v>53</v>
      </c>
      <c r="E110" s="11" t="n">
        <v>13</v>
      </c>
      <c r="F110" s="12" t="n">
        <v>3500</v>
      </c>
      <c r="G110" s="12" t="n">
        <f aca="false">E110*F110</f>
        <v>45500</v>
      </c>
    </row>
    <row r="111" customFormat="false" ht="14.25" hidden="false" customHeight="true" outlineLevel="0" collapsed="false">
      <c r="A111" s="10" t="n">
        <v>45693</v>
      </c>
      <c r="B111" s="11" t="s">
        <v>48</v>
      </c>
      <c r="C111" s="11" t="s">
        <v>46</v>
      </c>
      <c r="D111" s="11" t="s">
        <v>58</v>
      </c>
      <c r="E111" s="11" t="n">
        <v>5</v>
      </c>
      <c r="F111" s="12" t="n">
        <v>4000</v>
      </c>
      <c r="G111" s="12" t="n">
        <f aca="false">E111*F111</f>
        <v>20000</v>
      </c>
    </row>
    <row r="112" customFormat="false" ht="14.25" hidden="false" customHeight="true" outlineLevel="0" collapsed="false">
      <c r="A112" s="10" t="n">
        <v>45694</v>
      </c>
      <c r="B112" s="11" t="s">
        <v>42</v>
      </c>
      <c r="C112" s="11" t="s">
        <v>43</v>
      </c>
      <c r="D112" s="11" t="s">
        <v>51</v>
      </c>
      <c r="E112" s="11" t="n">
        <v>3</v>
      </c>
      <c r="F112" s="12" t="n">
        <v>3500</v>
      </c>
      <c r="G112" s="12" t="n">
        <f aca="false">E112*F112</f>
        <v>10500</v>
      </c>
    </row>
    <row r="113" customFormat="false" ht="14.25" hidden="false" customHeight="true" outlineLevel="0" collapsed="false">
      <c r="A113" s="10" t="n">
        <v>45694</v>
      </c>
      <c r="B113" s="11" t="s">
        <v>45</v>
      </c>
      <c r="C113" s="11" t="s">
        <v>59</v>
      </c>
      <c r="D113" s="11" t="s">
        <v>61</v>
      </c>
      <c r="E113" s="11" t="n">
        <v>5</v>
      </c>
      <c r="F113" s="12" t="n">
        <v>28000</v>
      </c>
      <c r="G113" s="12" t="n">
        <f aca="false">E113*F113</f>
        <v>140000</v>
      </c>
    </row>
    <row r="114" customFormat="false" ht="14.25" hidden="false" customHeight="true" outlineLevel="0" collapsed="false">
      <c r="A114" s="10" t="n">
        <v>45695</v>
      </c>
      <c r="B114" s="11" t="s">
        <v>56</v>
      </c>
      <c r="C114" s="11" t="s">
        <v>49</v>
      </c>
      <c r="D114" s="11" t="s">
        <v>52</v>
      </c>
      <c r="E114" s="11" t="n">
        <v>16</v>
      </c>
      <c r="F114" s="12" t="n">
        <v>15000</v>
      </c>
      <c r="G114" s="12" t="n">
        <f aca="false">E114*F114</f>
        <v>240000</v>
      </c>
    </row>
    <row r="115" customFormat="false" ht="14.25" hidden="false" customHeight="true" outlineLevel="0" collapsed="false">
      <c r="A115" s="10" t="n">
        <v>45695</v>
      </c>
      <c r="B115" s="11" t="s">
        <v>54</v>
      </c>
      <c r="C115" s="11" t="s">
        <v>46</v>
      </c>
      <c r="D115" s="11" t="s">
        <v>53</v>
      </c>
      <c r="E115" s="11" t="n">
        <v>11</v>
      </c>
      <c r="F115" s="12" t="n">
        <v>4000</v>
      </c>
      <c r="G115" s="12" t="n">
        <f aca="false">E115*F115</f>
        <v>44000</v>
      </c>
    </row>
    <row r="116" customFormat="false" ht="14.25" hidden="false" customHeight="true" outlineLevel="0" collapsed="false">
      <c r="A116" s="10" t="n">
        <v>45695</v>
      </c>
      <c r="B116" s="11" t="s">
        <v>45</v>
      </c>
      <c r="C116" s="11" t="s">
        <v>46</v>
      </c>
      <c r="D116" s="11" t="s">
        <v>66</v>
      </c>
      <c r="E116" s="11" t="n">
        <v>8</v>
      </c>
      <c r="F116" s="12" t="n">
        <v>11000</v>
      </c>
      <c r="G116" s="12" t="n">
        <f aca="false">E116*F116</f>
        <v>88000</v>
      </c>
    </row>
    <row r="117" customFormat="false" ht="14.25" hidden="false" customHeight="true" outlineLevel="0" collapsed="false">
      <c r="A117" s="10" t="n">
        <v>45695</v>
      </c>
      <c r="B117" s="11" t="s">
        <v>42</v>
      </c>
      <c r="C117" s="11" t="s">
        <v>49</v>
      </c>
      <c r="D117" s="11" t="s">
        <v>50</v>
      </c>
      <c r="E117" s="11" t="n">
        <v>13</v>
      </c>
      <c r="F117" s="12" t="n">
        <v>20000</v>
      </c>
      <c r="G117" s="12" t="n">
        <f aca="false">E117*F117</f>
        <v>260000</v>
      </c>
    </row>
    <row r="118" customFormat="false" ht="14.25" hidden="false" customHeight="true" outlineLevel="0" collapsed="false">
      <c r="A118" s="10" t="n">
        <v>45695</v>
      </c>
      <c r="B118" s="11" t="s">
        <v>56</v>
      </c>
      <c r="C118" s="11" t="s">
        <v>46</v>
      </c>
      <c r="D118" s="11" t="s">
        <v>58</v>
      </c>
      <c r="E118" s="11" t="n">
        <v>9</v>
      </c>
      <c r="F118" s="12" t="n">
        <v>5000</v>
      </c>
      <c r="G118" s="12" t="n">
        <f aca="false">E118*F118</f>
        <v>45000</v>
      </c>
    </row>
    <row r="119" customFormat="false" ht="14.25" hidden="false" customHeight="true" outlineLevel="0" collapsed="false">
      <c r="A119" s="10" t="n">
        <v>45696</v>
      </c>
      <c r="B119" s="11" t="s">
        <v>48</v>
      </c>
      <c r="C119" s="11" t="s">
        <v>46</v>
      </c>
      <c r="D119" s="11" t="s">
        <v>58</v>
      </c>
      <c r="E119" s="11" t="n">
        <v>5</v>
      </c>
      <c r="F119" s="12" t="n">
        <v>4500</v>
      </c>
      <c r="G119" s="12" t="n">
        <f aca="false">E119*F119</f>
        <v>22500</v>
      </c>
    </row>
    <row r="120" customFormat="false" ht="14.25" hidden="false" customHeight="true" outlineLevel="0" collapsed="false">
      <c r="A120" s="10" t="n">
        <v>45696</v>
      </c>
      <c r="B120" s="11" t="s">
        <v>48</v>
      </c>
      <c r="C120" s="11" t="s">
        <v>43</v>
      </c>
      <c r="D120" s="11" t="s">
        <v>55</v>
      </c>
      <c r="E120" s="11" t="n">
        <v>7</v>
      </c>
      <c r="F120" s="12" t="n">
        <v>27500</v>
      </c>
      <c r="G120" s="12" t="n">
        <f aca="false">E120*F120</f>
        <v>192500</v>
      </c>
    </row>
    <row r="121" customFormat="false" ht="14.25" hidden="false" customHeight="true" outlineLevel="0" collapsed="false">
      <c r="A121" s="10" t="n">
        <v>45696</v>
      </c>
      <c r="B121" s="11" t="s">
        <v>42</v>
      </c>
      <c r="C121" s="11" t="s">
        <v>46</v>
      </c>
      <c r="D121" s="11" t="s">
        <v>53</v>
      </c>
      <c r="E121" s="11" t="n">
        <v>15</v>
      </c>
      <c r="F121" s="12" t="n">
        <v>4000</v>
      </c>
      <c r="G121" s="12" t="n">
        <f aca="false">E121*F121</f>
        <v>60000</v>
      </c>
    </row>
    <row r="122" customFormat="false" ht="14.25" hidden="false" customHeight="true" outlineLevel="0" collapsed="false">
      <c r="A122" s="10" t="n">
        <v>45696</v>
      </c>
      <c r="B122" s="11" t="s">
        <v>42</v>
      </c>
      <c r="C122" s="11" t="s">
        <v>43</v>
      </c>
      <c r="D122" s="11" t="s">
        <v>44</v>
      </c>
      <c r="E122" s="11" t="n">
        <v>6</v>
      </c>
      <c r="F122" s="12" t="n">
        <v>12500</v>
      </c>
      <c r="G122" s="12" t="n">
        <f aca="false">E122*F122</f>
        <v>75000</v>
      </c>
    </row>
    <row r="123" customFormat="false" ht="14.25" hidden="false" customHeight="true" outlineLevel="0" collapsed="false">
      <c r="A123" s="10" t="n">
        <v>45696</v>
      </c>
      <c r="B123" s="11" t="s">
        <v>54</v>
      </c>
      <c r="C123" s="11" t="s">
        <v>59</v>
      </c>
      <c r="D123" s="11" t="s">
        <v>60</v>
      </c>
      <c r="E123" s="11" t="n">
        <v>1</v>
      </c>
      <c r="F123" s="12" t="n">
        <v>8500</v>
      </c>
      <c r="G123" s="12" t="n">
        <f aca="false">E123*F123</f>
        <v>8500</v>
      </c>
    </row>
    <row r="124" customFormat="false" ht="14.25" hidden="false" customHeight="true" outlineLevel="0" collapsed="false">
      <c r="A124" s="10" t="n">
        <v>45696</v>
      </c>
      <c r="B124" s="11" t="s">
        <v>56</v>
      </c>
      <c r="C124" s="11" t="s">
        <v>46</v>
      </c>
      <c r="D124" s="11" t="s">
        <v>47</v>
      </c>
      <c r="E124" s="11" t="n">
        <v>17</v>
      </c>
      <c r="F124" s="12" t="n">
        <v>20000</v>
      </c>
      <c r="G124" s="12" t="n">
        <f aca="false">E124*F124</f>
        <v>340000</v>
      </c>
    </row>
    <row r="125" customFormat="false" ht="14.25" hidden="false" customHeight="true" outlineLevel="0" collapsed="false">
      <c r="A125" s="10" t="n">
        <v>45697</v>
      </c>
      <c r="B125" s="11" t="s">
        <v>48</v>
      </c>
      <c r="C125" s="11" t="s">
        <v>43</v>
      </c>
      <c r="D125" s="11" t="s">
        <v>44</v>
      </c>
      <c r="E125" s="11" t="n">
        <v>6</v>
      </c>
      <c r="F125" s="12" t="n">
        <v>12000</v>
      </c>
      <c r="G125" s="12" t="n">
        <f aca="false">E125*F125</f>
        <v>72000</v>
      </c>
    </row>
    <row r="126" customFormat="false" ht="14.25" hidden="false" customHeight="true" outlineLevel="0" collapsed="false">
      <c r="A126" s="10" t="n">
        <v>45697</v>
      </c>
      <c r="B126" s="11" t="s">
        <v>48</v>
      </c>
      <c r="C126" s="11" t="s">
        <v>59</v>
      </c>
      <c r="D126" s="11" t="s">
        <v>61</v>
      </c>
      <c r="E126" s="11" t="n">
        <v>13</v>
      </c>
      <c r="F126" s="12" t="n">
        <v>25000</v>
      </c>
      <c r="G126" s="12" t="n">
        <f aca="false">E126*F126</f>
        <v>325000</v>
      </c>
    </row>
    <row r="127" customFormat="false" ht="14.25" hidden="false" customHeight="true" outlineLevel="0" collapsed="false">
      <c r="A127" s="10" t="n">
        <v>45697</v>
      </c>
      <c r="B127" s="11" t="s">
        <v>54</v>
      </c>
      <c r="C127" s="11" t="s">
        <v>43</v>
      </c>
      <c r="D127" s="11" t="s">
        <v>62</v>
      </c>
      <c r="E127" s="11" t="n">
        <v>14</v>
      </c>
      <c r="F127" s="12" t="n">
        <v>63000</v>
      </c>
      <c r="G127" s="12" t="n">
        <f aca="false">E127*F127</f>
        <v>882000</v>
      </c>
    </row>
    <row r="128" customFormat="false" ht="14.25" hidden="false" customHeight="true" outlineLevel="0" collapsed="false">
      <c r="A128" s="10" t="n">
        <v>45697</v>
      </c>
      <c r="B128" s="11" t="s">
        <v>56</v>
      </c>
      <c r="C128" s="11" t="s">
        <v>43</v>
      </c>
      <c r="D128" s="11" t="s">
        <v>55</v>
      </c>
      <c r="E128" s="11" t="n">
        <v>4</v>
      </c>
      <c r="F128" s="12" t="n">
        <v>28500</v>
      </c>
      <c r="G128" s="12" t="n">
        <f aca="false">E128*F128</f>
        <v>114000</v>
      </c>
    </row>
    <row r="129" customFormat="false" ht="14.25" hidden="false" customHeight="true" outlineLevel="0" collapsed="false">
      <c r="A129" s="10" t="n">
        <v>45698</v>
      </c>
      <c r="B129" s="11" t="s">
        <v>54</v>
      </c>
      <c r="C129" s="11" t="s">
        <v>43</v>
      </c>
      <c r="D129" s="11" t="s">
        <v>44</v>
      </c>
      <c r="E129" s="11" t="n">
        <v>6</v>
      </c>
      <c r="F129" s="12" t="n">
        <v>14500</v>
      </c>
      <c r="G129" s="12" t="n">
        <f aca="false">E129*F129</f>
        <v>87000</v>
      </c>
    </row>
    <row r="130" customFormat="false" ht="14.25" hidden="false" customHeight="true" outlineLevel="0" collapsed="false">
      <c r="A130" s="10" t="n">
        <v>45698</v>
      </c>
      <c r="B130" s="11" t="s">
        <v>42</v>
      </c>
      <c r="C130" s="11" t="s">
        <v>43</v>
      </c>
      <c r="D130" s="11" t="s">
        <v>62</v>
      </c>
      <c r="E130" s="11" t="n">
        <v>20</v>
      </c>
      <c r="F130" s="12" t="n">
        <v>62000</v>
      </c>
      <c r="G130" s="12" t="n">
        <f aca="false">E130*F130</f>
        <v>1240000</v>
      </c>
    </row>
    <row r="131" customFormat="false" ht="14.25" hidden="false" customHeight="true" outlineLevel="0" collapsed="false">
      <c r="A131" s="10" t="n">
        <v>45700</v>
      </c>
      <c r="B131" s="11" t="s">
        <v>45</v>
      </c>
      <c r="C131" s="11" t="s">
        <v>59</v>
      </c>
      <c r="D131" s="11" t="s">
        <v>61</v>
      </c>
      <c r="E131" s="11" t="n">
        <v>5</v>
      </c>
      <c r="F131" s="12" t="n">
        <v>30000</v>
      </c>
      <c r="G131" s="12" t="n">
        <f aca="false">E131*F131</f>
        <v>150000</v>
      </c>
    </row>
    <row r="132" customFormat="false" ht="14.25" hidden="false" customHeight="true" outlineLevel="0" collapsed="false">
      <c r="A132" s="10" t="n">
        <v>45700</v>
      </c>
      <c r="B132" s="11" t="s">
        <v>42</v>
      </c>
      <c r="C132" s="11" t="s">
        <v>46</v>
      </c>
      <c r="D132" s="11" t="s">
        <v>66</v>
      </c>
      <c r="E132" s="11" t="n">
        <v>5</v>
      </c>
      <c r="F132" s="12" t="n">
        <v>10000</v>
      </c>
      <c r="G132" s="12" t="n">
        <f aca="false">E132*F132</f>
        <v>50000</v>
      </c>
    </row>
    <row r="133" customFormat="false" ht="14.25" hidden="false" customHeight="true" outlineLevel="0" collapsed="false">
      <c r="A133" s="10" t="n">
        <v>45701</v>
      </c>
      <c r="B133" s="11" t="s">
        <v>48</v>
      </c>
      <c r="C133" s="11" t="s">
        <v>46</v>
      </c>
      <c r="D133" s="11" t="s">
        <v>47</v>
      </c>
      <c r="E133" s="11" t="n">
        <v>9</v>
      </c>
      <c r="F133" s="12" t="n">
        <v>17000</v>
      </c>
      <c r="G133" s="12" t="n">
        <f aca="false">E133*F133</f>
        <v>153000</v>
      </c>
    </row>
    <row r="134" customFormat="false" ht="14.25" hidden="false" customHeight="true" outlineLevel="0" collapsed="false">
      <c r="A134" s="10" t="n">
        <v>45701</v>
      </c>
      <c r="B134" s="11" t="s">
        <v>45</v>
      </c>
      <c r="C134" s="11" t="s">
        <v>46</v>
      </c>
      <c r="D134" s="11" t="s">
        <v>58</v>
      </c>
      <c r="E134" s="11" t="n">
        <v>4</v>
      </c>
      <c r="F134" s="12" t="n">
        <v>4000</v>
      </c>
      <c r="G134" s="12" t="n">
        <f aca="false">E134*F134</f>
        <v>16000</v>
      </c>
    </row>
    <row r="135" customFormat="false" ht="14.25" hidden="false" customHeight="true" outlineLevel="0" collapsed="false">
      <c r="A135" s="10" t="n">
        <v>45701</v>
      </c>
      <c r="B135" s="11" t="s">
        <v>45</v>
      </c>
      <c r="C135" s="11" t="s">
        <v>43</v>
      </c>
      <c r="D135" s="11" t="s">
        <v>55</v>
      </c>
      <c r="E135" s="11" t="n">
        <v>11</v>
      </c>
      <c r="F135" s="12" t="n">
        <v>30000</v>
      </c>
      <c r="G135" s="12" t="n">
        <f aca="false">E135*F135</f>
        <v>330000</v>
      </c>
    </row>
    <row r="136" customFormat="false" ht="14.25" hidden="false" customHeight="true" outlineLevel="0" collapsed="false">
      <c r="A136" s="10" t="n">
        <v>45701</v>
      </c>
      <c r="B136" s="11" t="s">
        <v>48</v>
      </c>
      <c r="C136" s="11" t="s">
        <v>59</v>
      </c>
      <c r="D136" s="11" t="s">
        <v>63</v>
      </c>
      <c r="E136" s="11" t="n">
        <v>10</v>
      </c>
      <c r="F136" s="12" t="n">
        <v>15000</v>
      </c>
      <c r="G136" s="12" t="n">
        <f aca="false">E136*F136</f>
        <v>150000</v>
      </c>
    </row>
    <row r="137" customFormat="false" ht="14.25" hidden="false" customHeight="true" outlineLevel="0" collapsed="false">
      <c r="A137" s="10" t="n">
        <v>45701</v>
      </c>
      <c r="B137" s="11" t="s">
        <v>54</v>
      </c>
      <c r="C137" s="11" t="s">
        <v>43</v>
      </c>
      <c r="D137" s="11" t="s">
        <v>62</v>
      </c>
      <c r="E137" s="11" t="n">
        <v>17</v>
      </c>
      <c r="F137" s="12" t="n">
        <v>63500</v>
      </c>
      <c r="G137" s="12" t="n">
        <f aca="false">E137*F137</f>
        <v>1079500</v>
      </c>
    </row>
    <row r="138" customFormat="false" ht="14.25" hidden="false" customHeight="true" outlineLevel="0" collapsed="false">
      <c r="A138" s="10" t="n">
        <v>45702</v>
      </c>
      <c r="B138" s="11" t="s">
        <v>42</v>
      </c>
      <c r="C138" s="11" t="s">
        <v>43</v>
      </c>
      <c r="D138" s="11" t="s">
        <v>51</v>
      </c>
      <c r="E138" s="11" t="n">
        <v>8</v>
      </c>
      <c r="F138" s="12" t="n">
        <v>3500</v>
      </c>
      <c r="G138" s="12" t="n">
        <f aca="false">E138*F138</f>
        <v>28000</v>
      </c>
    </row>
    <row r="139" customFormat="false" ht="14.25" hidden="false" customHeight="true" outlineLevel="0" collapsed="false">
      <c r="A139" s="10" t="n">
        <v>45703</v>
      </c>
      <c r="B139" s="11" t="s">
        <v>42</v>
      </c>
      <c r="C139" s="11" t="s">
        <v>49</v>
      </c>
      <c r="D139" s="11" t="s">
        <v>57</v>
      </c>
      <c r="E139" s="11" t="n">
        <v>4</v>
      </c>
      <c r="F139" s="12" t="n">
        <v>4500</v>
      </c>
      <c r="G139" s="12" t="n">
        <f aca="false">E139*F139</f>
        <v>18000</v>
      </c>
    </row>
    <row r="140" customFormat="false" ht="14.25" hidden="false" customHeight="true" outlineLevel="0" collapsed="false">
      <c r="A140" s="10" t="n">
        <v>45703</v>
      </c>
      <c r="B140" s="11" t="s">
        <v>42</v>
      </c>
      <c r="C140" s="11" t="s">
        <v>43</v>
      </c>
      <c r="D140" s="11" t="s">
        <v>62</v>
      </c>
      <c r="E140" s="11" t="n">
        <v>17</v>
      </c>
      <c r="F140" s="12" t="n">
        <v>66000</v>
      </c>
      <c r="G140" s="12" t="n">
        <f aca="false">E140*F140</f>
        <v>1122000</v>
      </c>
    </row>
    <row r="141" customFormat="false" ht="14.25" hidden="false" customHeight="true" outlineLevel="0" collapsed="false">
      <c r="A141" s="10" t="n">
        <v>45703</v>
      </c>
      <c r="B141" s="11" t="s">
        <v>48</v>
      </c>
      <c r="C141" s="11" t="s">
        <v>49</v>
      </c>
      <c r="D141" s="11" t="s">
        <v>65</v>
      </c>
      <c r="E141" s="11" t="n">
        <v>16</v>
      </c>
      <c r="F141" s="12" t="n">
        <v>17000</v>
      </c>
      <c r="G141" s="12" t="n">
        <f aca="false">E141*F141</f>
        <v>272000</v>
      </c>
    </row>
    <row r="142" customFormat="false" ht="14.25" hidden="false" customHeight="true" outlineLevel="0" collapsed="false">
      <c r="A142" s="10" t="n">
        <v>45703</v>
      </c>
      <c r="B142" s="11" t="s">
        <v>42</v>
      </c>
      <c r="C142" s="11" t="s">
        <v>43</v>
      </c>
      <c r="D142" s="11" t="s">
        <v>62</v>
      </c>
      <c r="E142" s="11" t="n">
        <v>18</v>
      </c>
      <c r="F142" s="12" t="n">
        <v>68000</v>
      </c>
      <c r="G142" s="12" t="n">
        <f aca="false">E142*F142</f>
        <v>1224000</v>
      </c>
    </row>
    <row r="143" customFormat="false" ht="14.25" hidden="false" customHeight="true" outlineLevel="0" collapsed="false">
      <c r="A143" s="10" t="n">
        <v>45704</v>
      </c>
      <c r="B143" s="11" t="s">
        <v>42</v>
      </c>
      <c r="C143" s="11" t="s">
        <v>59</v>
      </c>
      <c r="D143" s="11" t="s">
        <v>61</v>
      </c>
      <c r="E143" s="11" t="n">
        <v>6</v>
      </c>
      <c r="F143" s="12" t="n">
        <v>29500</v>
      </c>
      <c r="G143" s="12" t="n">
        <f aca="false">E143*F143</f>
        <v>177000</v>
      </c>
    </row>
    <row r="144" customFormat="false" ht="14.25" hidden="false" customHeight="true" outlineLevel="0" collapsed="false">
      <c r="A144" s="10" t="n">
        <v>45705</v>
      </c>
      <c r="B144" s="11" t="s">
        <v>54</v>
      </c>
      <c r="C144" s="11" t="s">
        <v>49</v>
      </c>
      <c r="D144" s="11" t="s">
        <v>57</v>
      </c>
      <c r="E144" s="11" t="n">
        <v>8</v>
      </c>
      <c r="F144" s="12" t="n">
        <v>4000</v>
      </c>
      <c r="G144" s="12" t="n">
        <f aca="false">E144*F144</f>
        <v>32000</v>
      </c>
    </row>
    <row r="145" customFormat="false" ht="14.25" hidden="false" customHeight="true" outlineLevel="0" collapsed="false">
      <c r="A145" s="10" t="n">
        <v>45705</v>
      </c>
      <c r="B145" s="11" t="s">
        <v>54</v>
      </c>
      <c r="C145" s="11" t="s">
        <v>59</v>
      </c>
      <c r="D145" s="11" t="s">
        <v>60</v>
      </c>
      <c r="E145" s="11" t="n">
        <v>8</v>
      </c>
      <c r="F145" s="12" t="n">
        <v>8500</v>
      </c>
      <c r="G145" s="12" t="n">
        <f aca="false">E145*F145</f>
        <v>68000</v>
      </c>
    </row>
    <row r="146" customFormat="false" ht="14.25" hidden="false" customHeight="true" outlineLevel="0" collapsed="false">
      <c r="A146" s="10" t="n">
        <v>45705</v>
      </c>
      <c r="B146" s="11" t="s">
        <v>56</v>
      </c>
      <c r="C146" s="11" t="s">
        <v>49</v>
      </c>
      <c r="D146" s="11" t="s">
        <v>57</v>
      </c>
      <c r="E146" s="11" t="n">
        <v>20</v>
      </c>
      <c r="F146" s="12" t="n">
        <v>4000</v>
      </c>
      <c r="G146" s="12" t="n">
        <f aca="false">E146*F146</f>
        <v>80000</v>
      </c>
    </row>
    <row r="147" customFormat="false" ht="14.25" hidden="false" customHeight="true" outlineLevel="0" collapsed="false">
      <c r="A147" s="10" t="n">
        <v>45705</v>
      </c>
      <c r="B147" s="11" t="s">
        <v>42</v>
      </c>
      <c r="C147" s="11" t="s">
        <v>59</v>
      </c>
      <c r="D147" s="11" t="s">
        <v>64</v>
      </c>
      <c r="E147" s="11" t="n">
        <v>2</v>
      </c>
      <c r="F147" s="12" t="n">
        <v>10000</v>
      </c>
      <c r="G147" s="12" t="n">
        <f aca="false">E147*F147</f>
        <v>20000</v>
      </c>
    </row>
    <row r="148" customFormat="false" ht="14.25" hidden="false" customHeight="true" outlineLevel="0" collapsed="false">
      <c r="A148" s="10" t="n">
        <v>45706</v>
      </c>
      <c r="B148" s="11" t="s">
        <v>48</v>
      </c>
      <c r="C148" s="11" t="s">
        <v>43</v>
      </c>
      <c r="D148" s="11" t="s">
        <v>51</v>
      </c>
      <c r="E148" s="11" t="n">
        <v>13</v>
      </c>
      <c r="F148" s="12" t="n">
        <v>3000</v>
      </c>
      <c r="G148" s="12" t="n">
        <f aca="false">E148*F148</f>
        <v>39000</v>
      </c>
    </row>
    <row r="149" customFormat="false" ht="14.25" hidden="false" customHeight="true" outlineLevel="0" collapsed="false">
      <c r="A149" s="10" t="n">
        <v>45706</v>
      </c>
      <c r="B149" s="11" t="s">
        <v>48</v>
      </c>
      <c r="C149" s="11" t="s">
        <v>59</v>
      </c>
      <c r="D149" s="11" t="s">
        <v>61</v>
      </c>
      <c r="E149" s="11" t="n">
        <v>16</v>
      </c>
      <c r="F149" s="12" t="n">
        <v>27500</v>
      </c>
      <c r="G149" s="12" t="n">
        <f aca="false">E149*F149</f>
        <v>440000</v>
      </c>
    </row>
    <row r="150" customFormat="false" ht="14.25" hidden="false" customHeight="true" outlineLevel="0" collapsed="false">
      <c r="A150" s="10" t="n">
        <v>45706</v>
      </c>
      <c r="B150" s="11" t="s">
        <v>56</v>
      </c>
      <c r="C150" s="11" t="s">
        <v>46</v>
      </c>
      <c r="D150" s="11" t="s">
        <v>47</v>
      </c>
      <c r="E150" s="11" t="n">
        <v>5</v>
      </c>
      <c r="F150" s="12" t="n">
        <v>17000</v>
      </c>
      <c r="G150" s="12" t="n">
        <f aca="false">E150*F150</f>
        <v>85000</v>
      </c>
    </row>
    <row r="151" customFormat="false" ht="14.25" hidden="false" customHeight="true" outlineLevel="0" collapsed="false">
      <c r="A151" s="10" t="n">
        <v>45707</v>
      </c>
      <c r="B151" s="11" t="s">
        <v>48</v>
      </c>
      <c r="C151" s="11" t="s">
        <v>59</v>
      </c>
      <c r="D151" s="11" t="s">
        <v>61</v>
      </c>
      <c r="E151" s="11" t="n">
        <v>14</v>
      </c>
      <c r="F151" s="12" t="n">
        <v>29000</v>
      </c>
      <c r="G151" s="12" t="n">
        <f aca="false">E151*F151</f>
        <v>406000</v>
      </c>
    </row>
    <row r="152" customFormat="false" ht="14.25" hidden="false" customHeight="true" outlineLevel="0" collapsed="false">
      <c r="A152" s="10" t="n">
        <v>45707</v>
      </c>
      <c r="B152" s="11" t="s">
        <v>56</v>
      </c>
      <c r="C152" s="11" t="s">
        <v>43</v>
      </c>
      <c r="D152" s="11" t="s">
        <v>51</v>
      </c>
      <c r="E152" s="11" t="n">
        <v>16</v>
      </c>
      <c r="F152" s="12" t="n">
        <v>3000</v>
      </c>
      <c r="G152" s="12" t="n">
        <f aca="false">E152*F152</f>
        <v>48000</v>
      </c>
    </row>
    <row r="153" customFormat="false" ht="14.25" hidden="false" customHeight="true" outlineLevel="0" collapsed="false">
      <c r="A153" s="10" t="n">
        <v>45707</v>
      </c>
      <c r="B153" s="11" t="s">
        <v>56</v>
      </c>
      <c r="C153" s="11" t="s">
        <v>49</v>
      </c>
      <c r="D153" s="11" t="s">
        <v>57</v>
      </c>
      <c r="E153" s="11" t="n">
        <v>11</v>
      </c>
      <c r="F153" s="12" t="n">
        <v>4000</v>
      </c>
      <c r="G153" s="12" t="n">
        <f aca="false">E153*F153</f>
        <v>44000</v>
      </c>
    </row>
    <row r="154" customFormat="false" ht="14.25" hidden="false" customHeight="true" outlineLevel="0" collapsed="false">
      <c r="A154" s="10" t="n">
        <v>45707</v>
      </c>
      <c r="B154" s="11" t="s">
        <v>56</v>
      </c>
      <c r="C154" s="11" t="s">
        <v>43</v>
      </c>
      <c r="D154" s="11" t="s">
        <v>44</v>
      </c>
      <c r="E154" s="11" t="n">
        <v>10</v>
      </c>
      <c r="F154" s="12" t="n">
        <v>13500</v>
      </c>
      <c r="G154" s="12" t="n">
        <f aca="false">E154*F154</f>
        <v>135000</v>
      </c>
    </row>
    <row r="155" customFormat="false" ht="14.25" hidden="false" customHeight="true" outlineLevel="0" collapsed="false">
      <c r="A155" s="10" t="n">
        <v>45707</v>
      </c>
      <c r="B155" s="11" t="s">
        <v>56</v>
      </c>
      <c r="C155" s="11" t="s">
        <v>49</v>
      </c>
      <c r="D155" s="11" t="s">
        <v>57</v>
      </c>
      <c r="E155" s="11" t="n">
        <v>3</v>
      </c>
      <c r="F155" s="12" t="n">
        <v>4000</v>
      </c>
      <c r="G155" s="12" t="n">
        <f aca="false">E155*F155</f>
        <v>12000</v>
      </c>
    </row>
    <row r="156" customFormat="false" ht="14.25" hidden="false" customHeight="true" outlineLevel="0" collapsed="false">
      <c r="A156" s="10" t="n">
        <v>45708</v>
      </c>
      <c r="B156" s="11" t="s">
        <v>42</v>
      </c>
      <c r="C156" s="11" t="s">
        <v>46</v>
      </c>
      <c r="D156" s="11" t="s">
        <v>58</v>
      </c>
      <c r="E156" s="11" t="n">
        <v>6</v>
      </c>
      <c r="F156" s="12" t="n">
        <v>4000</v>
      </c>
      <c r="G156" s="12" t="n">
        <f aca="false">E156*F156</f>
        <v>24000</v>
      </c>
    </row>
    <row r="157" customFormat="false" ht="14.25" hidden="false" customHeight="true" outlineLevel="0" collapsed="false">
      <c r="A157" s="10" t="n">
        <v>45708</v>
      </c>
      <c r="B157" s="11" t="s">
        <v>45</v>
      </c>
      <c r="C157" s="11" t="s">
        <v>43</v>
      </c>
      <c r="D157" s="11" t="s">
        <v>62</v>
      </c>
      <c r="E157" s="11" t="n">
        <v>15</v>
      </c>
      <c r="F157" s="12" t="n">
        <v>66500</v>
      </c>
      <c r="G157" s="12" t="n">
        <f aca="false">E157*F157</f>
        <v>997500</v>
      </c>
    </row>
    <row r="158" customFormat="false" ht="14.25" hidden="false" customHeight="true" outlineLevel="0" collapsed="false">
      <c r="A158" s="10" t="n">
        <v>45709</v>
      </c>
      <c r="B158" s="11" t="s">
        <v>42</v>
      </c>
      <c r="C158" s="11" t="s">
        <v>59</v>
      </c>
      <c r="D158" s="11" t="s">
        <v>64</v>
      </c>
      <c r="E158" s="11" t="n">
        <v>3</v>
      </c>
      <c r="F158" s="12" t="n">
        <v>9500</v>
      </c>
      <c r="G158" s="12" t="n">
        <f aca="false">E158*F158</f>
        <v>28500</v>
      </c>
    </row>
    <row r="159" customFormat="false" ht="14.25" hidden="false" customHeight="true" outlineLevel="0" collapsed="false">
      <c r="A159" s="10" t="n">
        <v>45709</v>
      </c>
      <c r="B159" s="11" t="s">
        <v>42</v>
      </c>
      <c r="C159" s="11" t="s">
        <v>49</v>
      </c>
      <c r="D159" s="11" t="s">
        <v>65</v>
      </c>
      <c r="E159" s="11" t="n">
        <v>6</v>
      </c>
      <c r="F159" s="12" t="n">
        <v>17500</v>
      </c>
      <c r="G159" s="12" t="n">
        <f aca="false">E159*F159</f>
        <v>105000</v>
      </c>
    </row>
    <row r="160" customFormat="false" ht="14.25" hidden="false" customHeight="true" outlineLevel="0" collapsed="false">
      <c r="A160" s="10" t="n">
        <v>45709</v>
      </c>
      <c r="B160" s="11" t="s">
        <v>54</v>
      </c>
      <c r="C160" s="11" t="s">
        <v>46</v>
      </c>
      <c r="D160" s="11" t="s">
        <v>58</v>
      </c>
      <c r="E160" s="11" t="n">
        <v>19</v>
      </c>
      <c r="F160" s="12" t="n">
        <v>5000</v>
      </c>
      <c r="G160" s="12" t="n">
        <f aca="false">E160*F160</f>
        <v>95000</v>
      </c>
    </row>
    <row r="161" customFormat="false" ht="14.25" hidden="false" customHeight="true" outlineLevel="0" collapsed="false">
      <c r="A161" s="10" t="n">
        <v>45709</v>
      </c>
      <c r="B161" s="11" t="s">
        <v>54</v>
      </c>
      <c r="C161" s="11" t="s">
        <v>46</v>
      </c>
      <c r="D161" s="11" t="s">
        <v>66</v>
      </c>
      <c r="E161" s="11" t="n">
        <v>12</v>
      </c>
      <c r="F161" s="12" t="n">
        <v>12000</v>
      </c>
      <c r="G161" s="12" t="n">
        <f aca="false">E161*F161</f>
        <v>144000</v>
      </c>
    </row>
    <row r="162" customFormat="false" ht="14.25" hidden="false" customHeight="true" outlineLevel="0" collapsed="false">
      <c r="A162" s="10" t="n">
        <v>45710</v>
      </c>
      <c r="B162" s="11" t="s">
        <v>56</v>
      </c>
      <c r="C162" s="11" t="s">
        <v>59</v>
      </c>
      <c r="D162" s="11" t="s">
        <v>61</v>
      </c>
      <c r="E162" s="11" t="n">
        <v>13</v>
      </c>
      <c r="F162" s="12" t="n">
        <v>28000</v>
      </c>
      <c r="G162" s="12" t="n">
        <f aca="false">E162*F162</f>
        <v>364000</v>
      </c>
    </row>
    <row r="163" customFormat="false" ht="14.25" hidden="false" customHeight="true" outlineLevel="0" collapsed="false">
      <c r="A163" s="10" t="n">
        <v>45710</v>
      </c>
      <c r="B163" s="11" t="s">
        <v>56</v>
      </c>
      <c r="C163" s="11" t="s">
        <v>49</v>
      </c>
      <c r="D163" s="11" t="s">
        <v>52</v>
      </c>
      <c r="E163" s="11" t="n">
        <v>9</v>
      </c>
      <c r="F163" s="12" t="n">
        <v>15500</v>
      </c>
      <c r="G163" s="12" t="n">
        <f aca="false">E163*F163</f>
        <v>139500</v>
      </c>
    </row>
    <row r="164" customFormat="false" ht="14.25" hidden="false" customHeight="true" outlineLevel="0" collapsed="false">
      <c r="A164" s="10" t="n">
        <v>45710</v>
      </c>
      <c r="B164" s="11" t="s">
        <v>42</v>
      </c>
      <c r="C164" s="11" t="s">
        <v>49</v>
      </c>
      <c r="D164" s="11" t="s">
        <v>65</v>
      </c>
      <c r="E164" s="11" t="n">
        <v>2</v>
      </c>
      <c r="F164" s="12" t="n">
        <v>17000</v>
      </c>
      <c r="G164" s="12" t="n">
        <f aca="false">E164*F164</f>
        <v>34000</v>
      </c>
    </row>
    <row r="165" customFormat="false" ht="14.25" hidden="false" customHeight="true" outlineLevel="0" collapsed="false">
      <c r="A165" s="10" t="n">
        <v>45710</v>
      </c>
      <c r="B165" s="11" t="s">
        <v>48</v>
      </c>
      <c r="C165" s="11" t="s">
        <v>43</v>
      </c>
      <c r="D165" s="11" t="s">
        <v>62</v>
      </c>
      <c r="E165" s="11" t="n">
        <v>16</v>
      </c>
      <c r="F165" s="12" t="n">
        <v>63500</v>
      </c>
      <c r="G165" s="12" t="n">
        <f aca="false">E165*F165</f>
        <v>1016000</v>
      </c>
    </row>
    <row r="166" customFormat="false" ht="14.25" hidden="false" customHeight="true" outlineLevel="0" collapsed="false">
      <c r="A166" s="10" t="n">
        <v>45712</v>
      </c>
      <c r="B166" s="11" t="s">
        <v>56</v>
      </c>
      <c r="C166" s="11" t="s">
        <v>46</v>
      </c>
      <c r="D166" s="11" t="s">
        <v>53</v>
      </c>
      <c r="E166" s="11" t="n">
        <v>17</v>
      </c>
      <c r="F166" s="12" t="n">
        <v>4000</v>
      </c>
      <c r="G166" s="12" t="n">
        <f aca="false">E166*F166</f>
        <v>68000</v>
      </c>
    </row>
    <row r="167" customFormat="false" ht="14.25" hidden="false" customHeight="true" outlineLevel="0" collapsed="false">
      <c r="A167" s="10" t="n">
        <v>45712</v>
      </c>
      <c r="B167" s="11" t="s">
        <v>45</v>
      </c>
      <c r="C167" s="11" t="s">
        <v>59</v>
      </c>
      <c r="D167" s="11" t="s">
        <v>61</v>
      </c>
      <c r="E167" s="11" t="n">
        <v>17</v>
      </c>
      <c r="F167" s="12" t="n">
        <v>26500</v>
      </c>
      <c r="G167" s="12" t="n">
        <f aca="false">E167*F167</f>
        <v>450500</v>
      </c>
    </row>
    <row r="168" customFormat="false" ht="14.25" hidden="false" customHeight="true" outlineLevel="0" collapsed="false">
      <c r="A168" s="10" t="n">
        <v>45712</v>
      </c>
      <c r="B168" s="11" t="s">
        <v>56</v>
      </c>
      <c r="C168" s="11" t="s">
        <v>43</v>
      </c>
      <c r="D168" s="11" t="s">
        <v>62</v>
      </c>
      <c r="E168" s="11" t="n">
        <v>9</v>
      </c>
      <c r="F168" s="12" t="n">
        <v>65500</v>
      </c>
      <c r="G168" s="12" t="n">
        <f aca="false">E168*F168</f>
        <v>589500</v>
      </c>
    </row>
    <row r="169" customFormat="false" ht="14.25" hidden="false" customHeight="true" outlineLevel="0" collapsed="false">
      <c r="A169" s="10" t="n">
        <v>45713</v>
      </c>
      <c r="B169" s="11" t="s">
        <v>48</v>
      </c>
      <c r="C169" s="11" t="s">
        <v>43</v>
      </c>
      <c r="D169" s="11" t="s">
        <v>55</v>
      </c>
      <c r="E169" s="11" t="n">
        <v>7</v>
      </c>
      <c r="F169" s="12" t="n">
        <v>29000</v>
      </c>
      <c r="G169" s="12" t="n">
        <f aca="false">E169*F169</f>
        <v>203000</v>
      </c>
    </row>
    <row r="170" customFormat="false" ht="14.25" hidden="false" customHeight="true" outlineLevel="0" collapsed="false">
      <c r="A170" s="10" t="n">
        <v>45713</v>
      </c>
      <c r="B170" s="11" t="s">
        <v>45</v>
      </c>
      <c r="C170" s="11" t="s">
        <v>59</v>
      </c>
      <c r="D170" s="11" t="s">
        <v>64</v>
      </c>
      <c r="E170" s="11" t="n">
        <v>16</v>
      </c>
      <c r="F170" s="12" t="n">
        <v>10500</v>
      </c>
      <c r="G170" s="12" t="n">
        <f aca="false">E170*F170</f>
        <v>168000</v>
      </c>
    </row>
    <row r="171" customFormat="false" ht="14.25" hidden="false" customHeight="true" outlineLevel="0" collapsed="false">
      <c r="A171" s="10" t="n">
        <v>45713</v>
      </c>
      <c r="B171" s="11" t="s">
        <v>48</v>
      </c>
      <c r="C171" s="11" t="s">
        <v>43</v>
      </c>
      <c r="D171" s="11" t="s">
        <v>44</v>
      </c>
      <c r="E171" s="11" t="n">
        <v>16</v>
      </c>
      <c r="F171" s="12" t="n">
        <v>13000</v>
      </c>
      <c r="G171" s="12" t="n">
        <f aca="false">E171*F171</f>
        <v>208000</v>
      </c>
    </row>
    <row r="172" customFormat="false" ht="14.25" hidden="false" customHeight="true" outlineLevel="0" collapsed="false">
      <c r="A172" s="10" t="n">
        <v>45713</v>
      </c>
      <c r="B172" s="11" t="s">
        <v>54</v>
      </c>
      <c r="C172" s="11" t="s">
        <v>49</v>
      </c>
      <c r="D172" s="11" t="s">
        <v>57</v>
      </c>
      <c r="E172" s="11" t="n">
        <v>9</v>
      </c>
      <c r="F172" s="12" t="n">
        <v>5000</v>
      </c>
      <c r="G172" s="12" t="n">
        <f aca="false">E172*F172</f>
        <v>45000</v>
      </c>
    </row>
    <row r="173" customFormat="false" ht="14.25" hidden="false" customHeight="true" outlineLevel="0" collapsed="false">
      <c r="A173" s="10" t="n">
        <v>45715</v>
      </c>
      <c r="B173" s="11" t="s">
        <v>56</v>
      </c>
      <c r="C173" s="11" t="s">
        <v>49</v>
      </c>
      <c r="D173" s="11" t="s">
        <v>57</v>
      </c>
      <c r="E173" s="11" t="n">
        <v>10</v>
      </c>
      <c r="F173" s="12" t="n">
        <v>5000</v>
      </c>
      <c r="G173" s="12" t="n">
        <f aca="false">E173*F173</f>
        <v>50000</v>
      </c>
    </row>
    <row r="174" customFormat="false" ht="14.25" hidden="false" customHeight="true" outlineLevel="0" collapsed="false">
      <c r="A174" s="10" t="n">
        <v>45716</v>
      </c>
      <c r="B174" s="11" t="s">
        <v>56</v>
      </c>
      <c r="C174" s="11" t="s">
        <v>43</v>
      </c>
      <c r="D174" s="11" t="s">
        <v>62</v>
      </c>
      <c r="E174" s="11" t="n">
        <v>5</v>
      </c>
      <c r="F174" s="12" t="n">
        <v>63000</v>
      </c>
      <c r="G174" s="12" t="n">
        <f aca="false">E174*F174</f>
        <v>315000</v>
      </c>
    </row>
    <row r="175" customFormat="false" ht="14.25" hidden="false" customHeight="true" outlineLevel="0" collapsed="false">
      <c r="A175" s="10" t="n">
        <v>45716</v>
      </c>
      <c r="B175" s="11" t="s">
        <v>48</v>
      </c>
      <c r="C175" s="11" t="s">
        <v>43</v>
      </c>
      <c r="D175" s="11" t="s">
        <v>62</v>
      </c>
      <c r="E175" s="11" t="n">
        <v>15</v>
      </c>
      <c r="F175" s="12" t="n">
        <v>66500</v>
      </c>
      <c r="G175" s="12" t="n">
        <f aca="false">E175*F175</f>
        <v>997500</v>
      </c>
    </row>
    <row r="176" customFormat="false" ht="14.25" hidden="false" customHeight="true" outlineLevel="0" collapsed="false">
      <c r="A176" s="10" t="n">
        <v>45716</v>
      </c>
      <c r="B176" s="11" t="s">
        <v>48</v>
      </c>
      <c r="C176" s="11" t="s">
        <v>46</v>
      </c>
      <c r="D176" s="11" t="s">
        <v>47</v>
      </c>
      <c r="E176" s="11" t="n">
        <v>13</v>
      </c>
      <c r="F176" s="12" t="n">
        <v>17000</v>
      </c>
      <c r="G176" s="12" t="n">
        <f aca="false">E176*F176</f>
        <v>221000</v>
      </c>
    </row>
    <row r="177" customFormat="false" ht="14.25" hidden="false" customHeight="true" outlineLevel="0" collapsed="false">
      <c r="A177" s="10" t="n">
        <v>45716</v>
      </c>
      <c r="B177" s="11" t="s">
        <v>48</v>
      </c>
      <c r="C177" s="11" t="s">
        <v>49</v>
      </c>
      <c r="D177" s="11" t="s">
        <v>50</v>
      </c>
      <c r="E177" s="11" t="n">
        <v>12</v>
      </c>
      <c r="F177" s="12" t="n">
        <v>18500</v>
      </c>
      <c r="G177" s="12" t="n">
        <f aca="false">E177*F177</f>
        <v>222000</v>
      </c>
    </row>
    <row r="178" customFormat="false" ht="14.25" hidden="false" customHeight="true" outlineLevel="0" collapsed="false">
      <c r="A178" s="10" t="n">
        <v>45717</v>
      </c>
      <c r="B178" s="11" t="s">
        <v>45</v>
      </c>
      <c r="C178" s="11" t="s">
        <v>49</v>
      </c>
      <c r="D178" s="11" t="s">
        <v>50</v>
      </c>
      <c r="E178" s="11" t="n">
        <v>9</v>
      </c>
      <c r="F178" s="12" t="n">
        <v>19500</v>
      </c>
      <c r="G178" s="12" t="n">
        <f aca="false">E178*F178</f>
        <v>175500</v>
      </c>
    </row>
    <row r="179" customFormat="false" ht="14.25" hidden="false" customHeight="true" outlineLevel="0" collapsed="false">
      <c r="A179" s="10" t="n">
        <v>45717</v>
      </c>
      <c r="B179" s="11" t="s">
        <v>45</v>
      </c>
      <c r="C179" s="11" t="s">
        <v>43</v>
      </c>
      <c r="D179" s="11" t="s">
        <v>51</v>
      </c>
      <c r="E179" s="11" t="n">
        <v>7</v>
      </c>
      <c r="F179" s="12" t="n">
        <v>3500</v>
      </c>
      <c r="G179" s="12" t="n">
        <f aca="false">E179*F179</f>
        <v>24500</v>
      </c>
    </row>
    <row r="180" customFormat="false" ht="14.25" hidden="false" customHeight="true" outlineLevel="0" collapsed="false">
      <c r="A180" s="10" t="n">
        <v>45718</v>
      </c>
      <c r="B180" s="11" t="s">
        <v>54</v>
      </c>
      <c r="C180" s="11" t="s">
        <v>46</v>
      </c>
      <c r="D180" s="11" t="s">
        <v>58</v>
      </c>
      <c r="E180" s="11" t="n">
        <v>1</v>
      </c>
      <c r="F180" s="12" t="n">
        <v>4000</v>
      </c>
      <c r="G180" s="12" t="n">
        <f aca="false">E180*F180</f>
        <v>4000</v>
      </c>
    </row>
    <row r="181" customFormat="false" ht="14.25" hidden="false" customHeight="true" outlineLevel="0" collapsed="false">
      <c r="A181" s="10" t="n">
        <v>45718</v>
      </c>
      <c r="B181" s="11" t="s">
        <v>56</v>
      </c>
      <c r="C181" s="11" t="s">
        <v>46</v>
      </c>
      <c r="D181" s="11" t="s">
        <v>47</v>
      </c>
      <c r="E181" s="11" t="n">
        <v>7</v>
      </c>
      <c r="F181" s="12" t="n">
        <v>18000</v>
      </c>
      <c r="G181" s="12" t="n">
        <f aca="false">E181*F181</f>
        <v>126000</v>
      </c>
    </row>
    <row r="182" customFormat="false" ht="14.25" hidden="false" customHeight="true" outlineLevel="0" collapsed="false">
      <c r="A182" s="10" t="n">
        <v>45718</v>
      </c>
      <c r="B182" s="11" t="s">
        <v>48</v>
      </c>
      <c r="C182" s="11" t="s">
        <v>43</v>
      </c>
      <c r="D182" s="11" t="s">
        <v>62</v>
      </c>
      <c r="E182" s="11" t="n">
        <v>15</v>
      </c>
      <c r="F182" s="12" t="n">
        <v>64500</v>
      </c>
      <c r="G182" s="12" t="n">
        <f aca="false">E182*F182</f>
        <v>967500</v>
      </c>
    </row>
    <row r="183" customFormat="false" ht="14.25" hidden="false" customHeight="true" outlineLevel="0" collapsed="false">
      <c r="A183" s="10" t="n">
        <v>45719</v>
      </c>
      <c r="B183" s="11" t="s">
        <v>54</v>
      </c>
      <c r="C183" s="11" t="s">
        <v>49</v>
      </c>
      <c r="D183" s="11" t="s">
        <v>50</v>
      </c>
      <c r="E183" s="11" t="n">
        <v>7</v>
      </c>
      <c r="F183" s="12" t="n">
        <v>20000</v>
      </c>
      <c r="G183" s="12" t="n">
        <f aca="false">E183*F183</f>
        <v>140000</v>
      </c>
    </row>
    <row r="184" customFormat="false" ht="14.25" hidden="false" customHeight="true" outlineLevel="0" collapsed="false">
      <c r="A184" s="10" t="n">
        <v>45719</v>
      </c>
      <c r="B184" s="11" t="s">
        <v>56</v>
      </c>
      <c r="C184" s="11" t="s">
        <v>43</v>
      </c>
      <c r="D184" s="11" t="s">
        <v>44</v>
      </c>
      <c r="E184" s="11" t="n">
        <v>9</v>
      </c>
      <c r="F184" s="12" t="n">
        <v>12500</v>
      </c>
      <c r="G184" s="12" t="n">
        <f aca="false">E184*F184</f>
        <v>112500</v>
      </c>
    </row>
    <row r="185" customFormat="false" ht="14.25" hidden="false" customHeight="true" outlineLevel="0" collapsed="false">
      <c r="A185" s="10" t="n">
        <v>45719</v>
      </c>
      <c r="B185" s="11" t="s">
        <v>56</v>
      </c>
      <c r="C185" s="11" t="s">
        <v>49</v>
      </c>
      <c r="D185" s="11" t="s">
        <v>57</v>
      </c>
      <c r="E185" s="11" t="n">
        <v>1</v>
      </c>
      <c r="F185" s="12" t="n">
        <v>4500</v>
      </c>
      <c r="G185" s="12" t="n">
        <f aca="false">E185*F185</f>
        <v>4500</v>
      </c>
    </row>
    <row r="186" customFormat="false" ht="14.25" hidden="false" customHeight="true" outlineLevel="0" collapsed="false">
      <c r="A186" s="10" t="n">
        <v>45720</v>
      </c>
      <c r="B186" s="11" t="s">
        <v>54</v>
      </c>
      <c r="C186" s="11" t="s">
        <v>49</v>
      </c>
      <c r="D186" s="11" t="s">
        <v>50</v>
      </c>
      <c r="E186" s="11" t="n">
        <v>6</v>
      </c>
      <c r="F186" s="12" t="n">
        <v>19500</v>
      </c>
      <c r="G186" s="12" t="n">
        <f aca="false">E186*F186</f>
        <v>117000</v>
      </c>
    </row>
    <row r="187" customFormat="false" ht="14.25" hidden="false" customHeight="true" outlineLevel="0" collapsed="false">
      <c r="A187" s="10" t="n">
        <v>45720</v>
      </c>
      <c r="B187" s="11" t="s">
        <v>54</v>
      </c>
      <c r="C187" s="11" t="s">
        <v>59</v>
      </c>
      <c r="D187" s="11" t="s">
        <v>64</v>
      </c>
      <c r="E187" s="11" t="n">
        <v>12</v>
      </c>
      <c r="F187" s="12" t="n">
        <v>9000</v>
      </c>
      <c r="G187" s="12" t="n">
        <f aca="false">E187*F187</f>
        <v>108000</v>
      </c>
    </row>
    <row r="188" customFormat="false" ht="14.25" hidden="false" customHeight="true" outlineLevel="0" collapsed="false">
      <c r="A188" s="10" t="n">
        <v>45720</v>
      </c>
      <c r="B188" s="11" t="s">
        <v>45</v>
      </c>
      <c r="C188" s="11" t="s">
        <v>49</v>
      </c>
      <c r="D188" s="11" t="s">
        <v>50</v>
      </c>
      <c r="E188" s="11" t="n">
        <v>4</v>
      </c>
      <c r="F188" s="12" t="n">
        <v>22000</v>
      </c>
      <c r="G188" s="12" t="n">
        <f aca="false">E188*F188</f>
        <v>88000</v>
      </c>
    </row>
    <row r="189" customFormat="false" ht="14.25" hidden="false" customHeight="true" outlineLevel="0" collapsed="false">
      <c r="A189" s="10" t="n">
        <v>45720</v>
      </c>
      <c r="B189" s="11" t="s">
        <v>56</v>
      </c>
      <c r="C189" s="11" t="s">
        <v>46</v>
      </c>
      <c r="D189" s="11" t="s">
        <v>53</v>
      </c>
      <c r="E189" s="11" t="n">
        <v>12</v>
      </c>
      <c r="F189" s="12" t="n">
        <v>4000</v>
      </c>
      <c r="G189" s="12" t="n">
        <f aca="false">E189*F189</f>
        <v>48000</v>
      </c>
    </row>
    <row r="190" customFormat="false" ht="14.25" hidden="false" customHeight="true" outlineLevel="0" collapsed="false">
      <c r="A190" s="10" t="n">
        <v>45720</v>
      </c>
      <c r="B190" s="11" t="s">
        <v>45</v>
      </c>
      <c r="C190" s="11" t="s">
        <v>43</v>
      </c>
      <c r="D190" s="11" t="s">
        <v>44</v>
      </c>
      <c r="E190" s="11" t="n">
        <v>19</v>
      </c>
      <c r="F190" s="12" t="n">
        <v>13500</v>
      </c>
      <c r="G190" s="12" t="n">
        <f aca="false">E190*F190</f>
        <v>256500</v>
      </c>
    </row>
    <row r="191" customFormat="false" ht="14.25" hidden="false" customHeight="true" outlineLevel="0" collapsed="false">
      <c r="A191" s="10" t="n">
        <v>45721</v>
      </c>
      <c r="B191" s="11" t="s">
        <v>42</v>
      </c>
      <c r="C191" s="11" t="s">
        <v>46</v>
      </c>
      <c r="D191" s="11" t="s">
        <v>47</v>
      </c>
      <c r="E191" s="11" t="n">
        <v>1</v>
      </c>
      <c r="F191" s="12" t="n">
        <v>20000</v>
      </c>
      <c r="G191" s="12" t="n">
        <f aca="false">E191*F191</f>
        <v>20000</v>
      </c>
    </row>
    <row r="192" customFormat="false" ht="14.25" hidden="false" customHeight="true" outlineLevel="0" collapsed="false">
      <c r="A192" s="10" t="n">
        <v>45721</v>
      </c>
      <c r="B192" s="11" t="s">
        <v>45</v>
      </c>
      <c r="C192" s="11" t="s">
        <v>59</v>
      </c>
      <c r="D192" s="11" t="s">
        <v>60</v>
      </c>
      <c r="E192" s="11" t="n">
        <v>13</v>
      </c>
      <c r="F192" s="12" t="n">
        <v>9500</v>
      </c>
      <c r="G192" s="12" t="n">
        <f aca="false">E192*F192</f>
        <v>123500</v>
      </c>
    </row>
    <row r="193" customFormat="false" ht="14.25" hidden="false" customHeight="true" outlineLevel="0" collapsed="false">
      <c r="A193" s="10" t="n">
        <v>45722</v>
      </c>
      <c r="B193" s="11" t="s">
        <v>48</v>
      </c>
      <c r="C193" s="11" t="s">
        <v>49</v>
      </c>
      <c r="D193" s="11" t="s">
        <v>52</v>
      </c>
      <c r="E193" s="11" t="n">
        <v>13</v>
      </c>
      <c r="F193" s="12" t="n">
        <v>16500</v>
      </c>
      <c r="G193" s="12" t="n">
        <f aca="false">E193*F193</f>
        <v>214500</v>
      </c>
    </row>
    <row r="194" customFormat="false" ht="14.25" hidden="false" customHeight="true" outlineLevel="0" collapsed="false">
      <c r="A194" s="10" t="n">
        <v>45723</v>
      </c>
      <c r="B194" s="11" t="s">
        <v>56</v>
      </c>
      <c r="C194" s="11" t="s">
        <v>46</v>
      </c>
      <c r="D194" s="11" t="s">
        <v>58</v>
      </c>
      <c r="E194" s="11" t="n">
        <v>20</v>
      </c>
      <c r="F194" s="12" t="n">
        <v>4000</v>
      </c>
      <c r="G194" s="12" t="n">
        <f aca="false">E194*F194</f>
        <v>80000</v>
      </c>
    </row>
    <row r="195" customFormat="false" ht="14.25" hidden="false" customHeight="true" outlineLevel="0" collapsed="false">
      <c r="A195" s="10" t="n">
        <v>45723</v>
      </c>
      <c r="B195" s="11" t="s">
        <v>48</v>
      </c>
      <c r="C195" s="11" t="s">
        <v>46</v>
      </c>
      <c r="D195" s="11" t="s">
        <v>47</v>
      </c>
      <c r="E195" s="11" t="n">
        <v>16</v>
      </c>
      <c r="F195" s="12" t="n">
        <v>20000</v>
      </c>
      <c r="G195" s="12" t="n">
        <f aca="false">E195*F195</f>
        <v>320000</v>
      </c>
    </row>
    <row r="196" customFormat="false" ht="14.25" hidden="false" customHeight="true" outlineLevel="0" collapsed="false">
      <c r="A196" s="10" t="n">
        <v>45723</v>
      </c>
      <c r="B196" s="11" t="s">
        <v>54</v>
      </c>
      <c r="C196" s="11" t="s">
        <v>46</v>
      </c>
      <c r="D196" s="11" t="s">
        <v>47</v>
      </c>
      <c r="E196" s="11" t="n">
        <v>8</v>
      </c>
      <c r="F196" s="12" t="n">
        <v>20000</v>
      </c>
      <c r="G196" s="12" t="n">
        <f aca="false">E196*F196</f>
        <v>160000</v>
      </c>
    </row>
    <row r="197" customFormat="false" ht="14.25" hidden="false" customHeight="true" outlineLevel="0" collapsed="false">
      <c r="A197" s="10" t="n">
        <v>45723</v>
      </c>
      <c r="B197" s="11" t="s">
        <v>45</v>
      </c>
      <c r="C197" s="11" t="s">
        <v>49</v>
      </c>
      <c r="D197" s="11" t="s">
        <v>50</v>
      </c>
      <c r="E197" s="11" t="n">
        <v>12</v>
      </c>
      <c r="F197" s="12" t="n">
        <v>22000</v>
      </c>
      <c r="G197" s="12" t="n">
        <f aca="false">E197*F197</f>
        <v>264000</v>
      </c>
    </row>
    <row r="198" customFormat="false" ht="14.25" hidden="false" customHeight="true" outlineLevel="0" collapsed="false">
      <c r="A198" s="10" t="n">
        <v>45723</v>
      </c>
      <c r="B198" s="11" t="s">
        <v>54</v>
      </c>
      <c r="C198" s="11" t="s">
        <v>49</v>
      </c>
      <c r="D198" s="11" t="s">
        <v>50</v>
      </c>
      <c r="E198" s="11" t="n">
        <v>5</v>
      </c>
      <c r="F198" s="12" t="n">
        <v>21500</v>
      </c>
      <c r="G198" s="12" t="n">
        <f aca="false">E198*F198</f>
        <v>107500</v>
      </c>
    </row>
    <row r="199" customFormat="false" ht="14.25" hidden="false" customHeight="true" outlineLevel="0" collapsed="false">
      <c r="A199" s="10" t="n">
        <v>45725</v>
      </c>
      <c r="B199" s="11" t="s">
        <v>54</v>
      </c>
      <c r="C199" s="11" t="s">
        <v>43</v>
      </c>
      <c r="D199" s="11" t="s">
        <v>51</v>
      </c>
      <c r="E199" s="11" t="n">
        <v>16</v>
      </c>
      <c r="F199" s="12" t="n">
        <v>3000</v>
      </c>
      <c r="G199" s="12" t="n">
        <f aca="false">E199*F199</f>
        <v>48000</v>
      </c>
    </row>
    <row r="200" customFormat="false" ht="14.25" hidden="false" customHeight="true" outlineLevel="0" collapsed="false">
      <c r="A200" s="10" t="n">
        <v>45725</v>
      </c>
      <c r="B200" s="11" t="s">
        <v>54</v>
      </c>
      <c r="C200" s="11" t="s">
        <v>49</v>
      </c>
      <c r="D200" s="11" t="s">
        <v>52</v>
      </c>
      <c r="E200" s="11" t="n">
        <v>17</v>
      </c>
      <c r="F200" s="12" t="n">
        <v>14000</v>
      </c>
      <c r="G200" s="12" t="n">
        <f aca="false">E200*F200</f>
        <v>238000</v>
      </c>
    </row>
    <row r="201" customFormat="false" ht="14.25" hidden="false" customHeight="true" outlineLevel="0" collapsed="false">
      <c r="A201" s="10" t="n">
        <v>45725</v>
      </c>
      <c r="B201" s="11" t="s">
        <v>48</v>
      </c>
      <c r="C201" s="11" t="s">
        <v>43</v>
      </c>
      <c r="D201" s="11" t="s">
        <v>44</v>
      </c>
      <c r="E201" s="11" t="n">
        <v>9</v>
      </c>
      <c r="F201" s="12" t="n">
        <v>13000</v>
      </c>
      <c r="G201" s="12" t="n">
        <f aca="false">E201*F201</f>
        <v>117000</v>
      </c>
    </row>
    <row r="202" customFormat="false" ht="14.25" hidden="false" customHeight="true" outlineLevel="0" collapsed="false">
      <c r="A202" s="10" t="n">
        <v>45725</v>
      </c>
      <c r="B202" s="11" t="s">
        <v>56</v>
      </c>
      <c r="C202" s="11" t="s">
        <v>43</v>
      </c>
      <c r="D202" s="11" t="s">
        <v>62</v>
      </c>
      <c r="E202" s="11" t="n">
        <v>2</v>
      </c>
      <c r="F202" s="12" t="n">
        <v>64500</v>
      </c>
      <c r="G202" s="12" t="n">
        <f aca="false">E202*F202</f>
        <v>129000</v>
      </c>
    </row>
    <row r="203" customFormat="false" ht="14.25" hidden="false" customHeight="true" outlineLevel="0" collapsed="false">
      <c r="A203" s="10" t="n">
        <v>45727</v>
      </c>
      <c r="B203" s="11" t="s">
        <v>54</v>
      </c>
      <c r="C203" s="11" t="s">
        <v>43</v>
      </c>
      <c r="D203" s="11" t="s">
        <v>62</v>
      </c>
      <c r="E203" s="11" t="n">
        <v>10</v>
      </c>
      <c r="F203" s="12" t="n">
        <v>66000</v>
      </c>
      <c r="G203" s="12" t="n">
        <f aca="false">E203*F203</f>
        <v>660000</v>
      </c>
    </row>
    <row r="204" customFormat="false" ht="14.25" hidden="false" customHeight="true" outlineLevel="0" collapsed="false">
      <c r="A204" s="10" t="n">
        <v>45727</v>
      </c>
      <c r="B204" s="11" t="s">
        <v>42</v>
      </c>
      <c r="C204" s="11" t="s">
        <v>49</v>
      </c>
      <c r="D204" s="11" t="s">
        <v>65</v>
      </c>
      <c r="E204" s="11" t="n">
        <v>2</v>
      </c>
      <c r="F204" s="12" t="n">
        <v>17500</v>
      </c>
      <c r="G204" s="12" t="n">
        <f aca="false">E204*F204</f>
        <v>35000</v>
      </c>
    </row>
    <row r="205" customFormat="false" ht="14.25" hidden="false" customHeight="true" outlineLevel="0" collapsed="false">
      <c r="A205" s="10" t="n">
        <v>45727</v>
      </c>
      <c r="B205" s="11" t="s">
        <v>42</v>
      </c>
      <c r="C205" s="11" t="s">
        <v>46</v>
      </c>
      <c r="D205" s="11" t="s">
        <v>58</v>
      </c>
      <c r="E205" s="11" t="n">
        <v>15</v>
      </c>
      <c r="F205" s="12" t="n">
        <v>4000</v>
      </c>
      <c r="G205" s="12" t="n">
        <f aca="false">E205*F205</f>
        <v>60000</v>
      </c>
    </row>
    <row r="206" customFormat="false" ht="14.25" hidden="false" customHeight="true" outlineLevel="0" collapsed="false">
      <c r="A206" s="10" t="n">
        <v>45728</v>
      </c>
      <c r="B206" s="11" t="s">
        <v>45</v>
      </c>
      <c r="C206" s="11" t="s">
        <v>59</v>
      </c>
      <c r="D206" s="11" t="s">
        <v>63</v>
      </c>
      <c r="E206" s="11" t="n">
        <v>14</v>
      </c>
      <c r="F206" s="12" t="n">
        <v>12000</v>
      </c>
      <c r="G206" s="12" t="n">
        <f aca="false">E206*F206</f>
        <v>168000</v>
      </c>
    </row>
    <row r="207" customFormat="false" ht="14.25" hidden="false" customHeight="true" outlineLevel="0" collapsed="false">
      <c r="A207" s="10" t="n">
        <v>45728</v>
      </c>
      <c r="B207" s="11" t="s">
        <v>42</v>
      </c>
      <c r="C207" s="11" t="s">
        <v>49</v>
      </c>
      <c r="D207" s="11" t="s">
        <v>65</v>
      </c>
      <c r="E207" s="11" t="n">
        <v>13</v>
      </c>
      <c r="F207" s="12" t="n">
        <v>15000</v>
      </c>
      <c r="G207" s="12" t="n">
        <f aca="false">E207*F207</f>
        <v>195000</v>
      </c>
    </row>
    <row r="208" customFormat="false" ht="14.25" hidden="false" customHeight="true" outlineLevel="0" collapsed="false">
      <c r="A208" s="10" t="n">
        <v>45728</v>
      </c>
      <c r="B208" s="11" t="s">
        <v>56</v>
      </c>
      <c r="C208" s="11" t="s">
        <v>46</v>
      </c>
      <c r="D208" s="11" t="s">
        <v>47</v>
      </c>
      <c r="E208" s="11" t="n">
        <v>13</v>
      </c>
      <c r="F208" s="12" t="n">
        <v>19000</v>
      </c>
      <c r="G208" s="12" t="n">
        <f aca="false">E208*F208</f>
        <v>247000</v>
      </c>
    </row>
    <row r="209" customFormat="false" ht="14.25" hidden="false" customHeight="true" outlineLevel="0" collapsed="false">
      <c r="A209" s="10" t="n">
        <v>45729</v>
      </c>
      <c r="B209" s="11" t="s">
        <v>45</v>
      </c>
      <c r="C209" s="11" t="s">
        <v>49</v>
      </c>
      <c r="D209" s="11" t="s">
        <v>52</v>
      </c>
      <c r="E209" s="11" t="n">
        <v>16</v>
      </c>
      <c r="F209" s="12" t="n">
        <v>17000</v>
      </c>
      <c r="G209" s="12" t="n">
        <f aca="false">E209*F209</f>
        <v>272000</v>
      </c>
    </row>
    <row r="210" customFormat="false" ht="14.25" hidden="false" customHeight="true" outlineLevel="0" collapsed="false">
      <c r="A210" s="10" t="n">
        <v>45729</v>
      </c>
      <c r="B210" s="11" t="s">
        <v>56</v>
      </c>
      <c r="C210" s="11" t="s">
        <v>49</v>
      </c>
      <c r="D210" s="11" t="s">
        <v>65</v>
      </c>
      <c r="E210" s="11" t="n">
        <v>8</v>
      </c>
      <c r="F210" s="12" t="n">
        <v>15000</v>
      </c>
      <c r="G210" s="12" t="n">
        <f aca="false">E210*F210</f>
        <v>120000</v>
      </c>
    </row>
    <row r="211" customFormat="false" ht="14.25" hidden="false" customHeight="true" outlineLevel="0" collapsed="false">
      <c r="A211" s="10" t="n">
        <v>45729</v>
      </c>
      <c r="B211" s="11" t="s">
        <v>54</v>
      </c>
      <c r="C211" s="11" t="s">
        <v>49</v>
      </c>
      <c r="D211" s="11" t="s">
        <v>65</v>
      </c>
      <c r="E211" s="11" t="n">
        <v>14</v>
      </c>
      <c r="F211" s="12" t="n">
        <v>16000</v>
      </c>
      <c r="G211" s="12" t="n">
        <f aca="false">E211*F211</f>
        <v>224000</v>
      </c>
    </row>
    <row r="212" customFormat="false" ht="14.25" hidden="false" customHeight="true" outlineLevel="0" collapsed="false">
      <c r="A212" s="10" t="n">
        <v>45730</v>
      </c>
      <c r="B212" s="11" t="s">
        <v>54</v>
      </c>
      <c r="C212" s="11" t="s">
        <v>46</v>
      </c>
      <c r="D212" s="11" t="s">
        <v>58</v>
      </c>
      <c r="E212" s="11" t="n">
        <v>13</v>
      </c>
      <c r="F212" s="12" t="n">
        <v>4500</v>
      </c>
      <c r="G212" s="12" t="n">
        <f aca="false">E212*F212</f>
        <v>58500</v>
      </c>
    </row>
    <row r="213" customFormat="false" ht="14.25" hidden="false" customHeight="true" outlineLevel="0" collapsed="false">
      <c r="A213" s="10" t="n">
        <v>45730</v>
      </c>
      <c r="B213" s="11" t="s">
        <v>54</v>
      </c>
      <c r="C213" s="11" t="s">
        <v>46</v>
      </c>
      <c r="D213" s="11" t="s">
        <v>58</v>
      </c>
      <c r="E213" s="11" t="n">
        <v>12</v>
      </c>
      <c r="F213" s="12" t="n">
        <v>4000</v>
      </c>
      <c r="G213" s="12" t="n">
        <f aca="false">E213*F213</f>
        <v>48000</v>
      </c>
    </row>
    <row r="214" customFormat="false" ht="14.25" hidden="false" customHeight="true" outlineLevel="0" collapsed="false">
      <c r="A214" s="10" t="n">
        <v>45731</v>
      </c>
      <c r="B214" s="11" t="s">
        <v>42</v>
      </c>
      <c r="C214" s="11" t="s">
        <v>43</v>
      </c>
      <c r="D214" s="11" t="s">
        <v>62</v>
      </c>
      <c r="E214" s="11" t="n">
        <v>14</v>
      </c>
      <c r="F214" s="12" t="n">
        <v>63500</v>
      </c>
      <c r="G214" s="12" t="n">
        <f aca="false">E214*F214</f>
        <v>889000</v>
      </c>
    </row>
    <row r="215" customFormat="false" ht="14.25" hidden="false" customHeight="true" outlineLevel="0" collapsed="false">
      <c r="A215" s="10" t="n">
        <v>45731</v>
      </c>
      <c r="B215" s="11" t="s">
        <v>48</v>
      </c>
      <c r="C215" s="11" t="s">
        <v>43</v>
      </c>
      <c r="D215" s="11" t="s">
        <v>55</v>
      </c>
      <c r="E215" s="11" t="n">
        <v>1</v>
      </c>
      <c r="F215" s="12" t="n">
        <v>29000</v>
      </c>
      <c r="G215" s="12" t="n">
        <f aca="false">E215*F215</f>
        <v>29000</v>
      </c>
    </row>
    <row r="216" customFormat="false" ht="14.25" hidden="false" customHeight="true" outlineLevel="0" collapsed="false">
      <c r="A216" s="10" t="n">
        <v>45731</v>
      </c>
      <c r="B216" s="11" t="s">
        <v>54</v>
      </c>
      <c r="C216" s="11" t="s">
        <v>43</v>
      </c>
      <c r="D216" s="11" t="s">
        <v>55</v>
      </c>
      <c r="E216" s="11" t="n">
        <v>11</v>
      </c>
      <c r="F216" s="12" t="n">
        <v>28000</v>
      </c>
      <c r="G216" s="12" t="n">
        <f aca="false">E216*F216</f>
        <v>308000</v>
      </c>
    </row>
    <row r="217" customFormat="false" ht="14.25" hidden="false" customHeight="true" outlineLevel="0" collapsed="false">
      <c r="A217" s="10" t="n">
        <v>45731</v>
      </c>
      <c r="B217" s="11" t="s">
        <v>54</v>
      </c>
      <c r="C217" s="11" t="s">
        <v>46</v>
      </c>
      <c r="D217" s="11" t="s">
        <v>53</v>
      </c>
      <c r="E217" s="11" t="n">
        <v>12</v>
      </c>
      <c r="F217" s="12" t="n">
        <v>3500</v>
      </c>
      <c r="G217" s="12" t="n">
        <f aca="false">E217*F217</f>
        <v>42000</v>
      </c>
    </row>
    <row r="218" customFormat="false" ht="14.25" hidden="false" customHeight="true" outlineLevel="0" collapsed="false">
      <c r="A218" s="10" t="n">
        <v>45732</v>
      </c>
      <c r="B218" s="11" t="s">
        <v>45</v>
      </c>
      <c r="C218" s="11" t="s">
        <v>49</v>
      </c>
      <c r="D218" s="11" t="s">
        <v>52</v>
      </c>
      <c r="E218" s="11" t="n">
        <v>15</v>
      </c>
      <c r="F218" s="12" t="n">
        <v>16500</v>
      </c>
      <c r="G218" s="12" t="n">
        <f aca="false">E218*F218</f>
        <v>247500</v>
      </c>
    </row>
    <row r="219" customFormat="false" ht="14.25" hidden="false" customHeight="true" outlineLevel="0" collapsed="false">
      <c r="A219" s="10" t="n">
        <v>45732</v>
      </c>
      <c r="B219" s="11" t="s">
        <v>56</v>
      </c>
      <c r="C219" s="11" t="s">
        <v>49</v>
      </c>
      <c r="D219" s="11" t="s">
        <v>65</v>
      </c>
      <c r="E219" s="11" t="n">
        <v>13</v>
      </c>
      <c r="F219" s="12" t="n">
        <v>16500</v>
      </c>
      <c r="G219" s="12" t="n">
        <f aca="false">E219*F219</f>
        <v>214500</v>
      </c>
    </row>
    <row r="220" customFormat="false" ht="14.25" hidden="false" customHeight="true" outlineLevel="0" collapsed="false">
      <c r="A220" s="10" t="n">
        <v>45732</v>
      </c>
      <c r="B220" s="11" t="s">
        <v>56</v>
      </c>
      <c r="C220" s="11" t="s">
        <v>43</v>
      </c>
      <c r="D220" s="11" t="s">
        <v>44</v>
      </c>
      <c r="E220" s="11" t="n">
        <v>13</v>
      </c>
      <c r="F220" s="12" t="n">
        <v>13500</v>
      </c>
      <c r="G220" s="12" t="n">
        <f aca="false">E220*F220</f>
        <v>175500</v>
      </c>
    </row>
    <row r="221" customFormat="false" ht="14.25" hidden="false" customHeight="true" outlineLevel="0" collapsed="false">
      <c r="A221" s="10" t="n">
        <v>45733</v>
      </c>
      <c r="B221" s="11" t="s">
        <v>42</v>
      </c>
      <c r="C221" s="11" t="s">
        <v>49</v>
      </c>
      <c r="D221" s="11" t="s">
        <v>50</v>
      </c>
      <c r="E221" s="11" t="n">
        <v>13</v>
      </c>
      <c r="F221" s="12" t="n">
        <v>21000</v>
      </c>
      <c r="G221" s="12" t="n">
        <f aca="false">E221*F221</f>
        <v>273000</v>
      </c>
    </row>
    <row r="222" customFormat="false" ht="14.25" hidden="false" customHeight="true" outlineLevel="0" collapsed="false">
      <c r="A222" s="10" t="n">
        <v>45733</v>
      </c>
      <c r="B222" s="11" t="s">
        <v>42</v>
      </c>
      <c r="C222" s="11" t="s">
        <v>59</v>
      </c>
      <c r="D222" s="11" t="s">
        <v>64</v>
      </c>
      <c r="E222" s="11" t="n">
        <v>19</v>
      </c>
      <c r="F222" s="12" t="n">
        <v>9000</v>
      </c>
      <c r="G222" s="12" t="n">
        <f aca="false">E222*F222</f>
        <v>171000</v>
      </c>
    </row>
    <row r="223" customFormat="false" ht="14.25" hidden="false" customHeight="true" outlineLevel="0" collapsed="false">
      <c r="A223" s="10" t="n">
        <v>45734</v>
      </c>
      <c r="B223" s="11" t="s">
        <v>54</v>
      </c>
      <c r="C223" s="11" t="s">
        <v>43</v>
      </c>
      <c r="D223" s="11" t="s">
        <v>44</v>
      </c>
      <c r="E223" s="11" t="n">
        <v>14</v>
      </c>
      <c r="F223" s="12" t="n">
        <v>12500</v>
      </c>
      <c r="G223" s="12" t="n">
        <f aca="false">E223*F223</f>
        <v>175000</v>
      </c>
    </row>
    <row r="224" customFormat="false" ht="14.25" hidden="false" customHeight="true" outlineLevel="0" collapsed="false">
      <c r="A224" s="10" t="n">
        <v>45734</v>
      </c>
      <c r="B224" s="11" t="s">
        <v>48</v>
      </c>
      <c r="C224" s="11" t="s">
        <v>43</v>
      </c>
      <c r="D224" s="11" t="s">
        <v>55</v>
      </c>
      <c r="E224" s="11" t="n">
        <v>3</v>
      </c>
      <c r="F224" s="12" t="n">
        <v>28000</v>
      </c>
      <c r="G224" s="12" t="n">
        <f aca="false">E224*F224</f>
        <v>84000</v>
      </c>
    </row>
    <row r="225" customFormat="false" ht="14.25" hidden="false" customHeight="true" outlineLevel="0" collapsed="false">
      <c r="A225" s="10" t="n">
        <v>45734</v>
      </c>
      <c r="B225" s="11" t="s">
        <v>54</v>
      </c>
      <c r="C225" s="11" t="s">
        <v>49</v>
      </c>
      <c r="D225" s="11" t="s">
        <v>65</v>
      </c>
      <c r="E225" s="11" t="n">
        <v>16</v>
      </c>
      <c r="F225" s="12" t="n">
        <v>15500</v>
      </c>
      <c r="G225" s="12" t="n">
        <f aca="false">E225*F225</f>
        <v>248000</v>
      </c>
    </row>
    <row r="226" customFormat="false" ht="14.25" hidden="false" customHeight="true" outlineLevel="0" collapsed="false">
      <c r="A226" s="10" t="n">
        <v>45735</v>
      </c>
      <c r="B226" s="11" t="s">
        <v>42</v>
      </c>
      <c r="C226" s="11" t="s">
        <v>43</v>
      </c>
      <c r="D226" s="11" t="s">
        <v>62</v>
      </c>
      <c r="E226" s="11" t="n">
        <v>20</v>
      </c>
      <c r="F226" s="12" t="n">
        <v>67500</v>
      </c>
      <c r="G226" s="12" t="n">
        <f aca="false">E226*F226</f>
        <v>1350000</v>
      </c>
    </row>
    <row r="227" customFormat="false" ht="14.25" hidden="false" customHeight="true" outlineLevel="0" collapsed="false">
      <c r="A227" s="10" t="n">
        <v>45736</v>
      </c>
      <c r="B227" s="11" t="s">
        <v>56</v>
      </c>
      <c r="C227" s="11" t="s">
        <v>43</v>
      </c>
      <c r="D227" s="11" t="s">
        <v>55</v>
      </c>
      <c r="E227" s="11" t="n">
        <v>6</v>
      </c>
      <c r="F227" s="12" t="n">
        <v>29500</v>
      </c>
      <c r="G227" s="12" t="n">
        <f aca="false">E227*F227</f>
        <v>177000</v>
      </c>
    </row>
    <row r="228" customFormat="false" ht="14.25" hidden="false" customHeight="true" outlineLevel="0" collapsed="false">
      <c r="A228" s="10" t="n">
        <v>45736</v>
      </c>
      <c r="B228" s="11" t="s">
        <v>48</v>
      </c>
      <c r="C228" s="11" t="s">
        <v>43</v>
      </c>
      <c r="D228" s="11" t="s">
        <v>51</v>
      </c>
      <c r="E228" s="11" t="n">
        <v>13</v>
      </c>
      <c r="F228" s="12" t="n">
        <v>3000</v>
      </c>
      <c r="G228" s="12" t="n">
        <f aca="false">E228*F228</f>
        <v>39000</v>
      </c>
    </row>
    <row r="229" customFormat="false" ht="14.25" hidden="false" customHeight="true" outlineLevel="0" collapsed="false">
      <c r="A229" s="10" t="n">
        <v>45736</v>
      </c>
      <c r="B229" s="11" t="s">
        <v>45</v>
      </c>
      <c r="C229" s="11" t="s">
        <v>43</v>
      </c>
      <c r="D229" s="11" t="s">
        <v>62</v>
      </c>
      <c r="E229" s="11" t="n">
        <v>5</v>
      </c>
      <c r="F229" s="12" t="n">
        <v>66000</v>
      </c>
      <c r="G229" s="12" t="n">
        <f aca="false">E229*F229</f>
        <v>330000</v>
      </c>
    </row>
    <row r="230" customFormat="false" ht="14.25" hidden="false" customHeight="true" outlineLevel="0" collapsed="false">
      <c r="A230" s="10" t="n">
        <v>45736</v>
      </c>
      <c r="B230" s="11" t="s">
        <v>42</v>
      </c>
      <c r="C230" s="11" t="s">
        <v>43</v>
      </c>
      <c r="D230" s="11" t="s">
        <v>55</v>
      </c>
      <c r="E230" s="11" t="n">
        <v>3</v>
      </c>
      <c r="F230" s="12" t="n">
        <v>27500</v>
      </c>
      <c r="G230" s="12" t="n">
        <f aca="false">E230*F230</f>
        <v>82500</v>
      </c>
    </row>
    <row r="231" customFormat="false" ht="14.25" hidden="false" customHeight="true" outlineLevel="0" collapsed="false">
      <c r="A231" s="10" t="n">
        <v>45737</v>
      </c>
      <c r="B231" s="11" t="s">
        <v>45</v>
      </c>
      <c r="C231" s="11" t="s">
        <v>59</v>
      </c>
      <c r="D231" s="11" t="s">
        <v>61</v>
      </c>
      <c r="E231" s="11" t="n">
        <v>4</v>
      </c>
      <c r="F231" s="12" t="n">
        <v>26500</v>
      </c>
      <c r="G231" s="12" t="n">
        <f aca="false">E231*F231</f>
        <v>106000</v>
      </c>
    </row>
    <row r="232" customFormat="false" ht="14.25" hidden="false" customHeight="true" outlineLevel="0" collapsed="false">
      <c r="A232" s="10" t="n">
        <v>45738</v>
      </c>
      <c r="B232" s="11" t="s">
        <v>56</v>
      </c>
      <c r="C232" s="11" t="s">
        <v>59</v>
      </c>
      <c r="D232" s="11" t="s">
        <v>63</v>
      </c>
      <c r="E232" s="11" t="n">
        <v>20</v>
      </c>
      <c r="F232" s="12" t="n">
        <v>15000</v>
      </c>
      <c r="G232" s="12" t="n">
        <f aca="false">E232*F232</f>
        <v>300000</v>
      </c>
    </row>
    <row r="233" customFormat="false" ht="14.25" hidden="false" customHeight="true" outlineLevel="0" collapsed="false">
      <c r="A233" s="10" t="n">
        <v>45738</v>
      </c>
      <c r="B233" s="11" t="s">
        <v>42</v>
      </c>
      <c r="C233" s="11" t="s">
        <v>46</v>
      </c>
      <c r="D233" s="11" t="s">
        <v>47</v>
      </c>
      <c r="E233" s="11" t="n">
        <v>8</v>
      </c>
      <c r="F233" s="12" t="n">
        <v>17000</v>
      </c>
      <c r="G233" s="12" t="n">
        <f aca="false">E233*F233</f>
        <v>136000</v>
      </c>
    </row>
    <row r="234" customFormat="false" ht="14.25" hidden="false" customHeight="true" outlineLevel="0" collapsed="false">
      <c r="A234" s="10" t="n">
        <v>45739</v>
      </c>
      <c r="B234" s="11" t="s">
        <v>45</v>
      </c>
      <c r="C234" s="11" t="s">
        <v>43</v>
      </c>
      <c r="D234" s="11" t="s">
        <v>51</v>
      </c>
      <c r="E234" s="11" t="n">
        <v>17</v>
      </c>
      <c r="F234" s="12" t="n">
        <v>3000</v>
      </c>
      <c r="G234" s="12" t="n">
        <f aca="false">E234*F234</f>
        <v>51000</v>
      </c>
    </row>
    <row r="235" customFormat="false" ht="14.25" hidden="false" customHeight="true" outlineLevel="0" collapsed="false">
      <c r="A235" s="10" t="n">
        <v>45739</v>
      </c>
      <c r="B235" s="11" t="s">
        <v>45</v>
      </c>
      <c r="C235" s="11" t="s">
        <v>43</v>
      </c>
      <c r="D235" s="11" t="s">
        <v>55</v>
      </c>
      <c r="E235" s="11" t="n">
        <v>19</v>
      </c>
      <c r="F235" s="12" t="n">
        <v>27000</v>
      </c>
      <c r="G235" s="12" t="n">
        <f aca="false">E235*F235</f>
        <v>513000</v>
      </c>
    </row>
    <row r="236" customFormat="false" ht="14.25" hidden="false" customHeight="true" outlineLevel="0" collapsed="false">
      <c r="A236" s="10" t="n">
        <v>45739</v>
      </c>
      <c r="B236" s="11" t="s">
        <v>56</v>
      </c>
      <c r="C236" s="11" t="s">
        <v>49</v>
      </c>
      <c r="D236" s="11" t="s">
        <v>50</v>
      </c>
      <c r="E236" s="11" t="n">
        <v>12</v>
      </c>
      <c r="F236" s="12" t="n">
        <v>21000</v>
      </c>
      <c r="G236" s="12" t="n">
        <f aca="false">E236*F236</f>
        <v>252000</v>
      </c>
    </row>
    <row r="237" customFormat="false" ht="14.25" hidden="false" customHeight="true" outlineLevel="0" collapsed="false">
      <c r="A237" s="10" t="n">
        <v>45739</v>
      </c>
      <c r="B237" s="11" t="s">
        <v>42</v>
      </c>
      <c r="C237" s="11" t="s">
        <v>43</v>
      </c>
      <c r="D237" s="11" t="s">
        <v>62</v>
      </c>
      <c r="E237" s="11" t="n">
        <v>18</v>
      </c>
      <c r="F237" s="12" t="n">
        <v>67000</v>
      </c>
      <c r="G237" s="12" t="n">
        <f aca="false">E237*F237</f>
        <v>1206000</v>
      </c>
    </row>
    <row r="238" customFormat="false" ht="14.25" hidden="false" customHeight="true" outlineLevel="0" collapsed="false">
      <c r="A238" s="10" t="n">
        <v>45740</v>
      </c>
      <c r="B238" s="11" t="s">
        <v>48</v>
      </c>
      <c r="C238" s="11" t="s">
        <v>49</v>
      </c>
      <c r="D238" s="11" t="s">
        <v>65</v>
      </c>
      <c r="E238" s="11" t="n">
        <v>13</v>
      </c>
      <c r="F238" s="12" t="n">
        <v>17500</v>
      </c>
      <c r="G238" s="12" t="n">
        <f aca="false">E238*F238</f>
        <v>227500</v>
      </c>
    </row>
    <row r="239" customFormat="false" ht="14.25" hidden="false" customHeight="true" outlineLevel="0" collapsed="false">
      <c r="A239" s="10" t="n">
        <v>45740</v>
      </c>
      <c r="B239" s="11" t="s">
        <v>42</v>
      </c>
      <c r="C239" s="11" t="s">
        <v>46</v>
      </c>
      <c r="D239" s="11" t="s">
        <v>53</v>
      </c>
      <c r="E239" s="11" t="n">
        <v>1</v>
      </c>
      <c r="F239" s="12" t="n">
        <v>4000</v>
      </c>
      <c r="G239" s="12" t="n">
        <f aca="false">E239*F239</f>
        <v>4000</v>
      </c>
    </row>
    <row r="240" customFormat="false" ht="14.25" hidden="false" customHeight="true" outlineLevel="0" collapsed="false">
      <c r="A240" s="10" t="n">
        <v>45740</v>
      </c>
      <c r="B240" s="11" t="s">
        <v>56</v>
      </c>
      <c r="C240" s="11" t="s">
        <v>43</v>
      </c>
      <c r="D240" s="11" t="s">
        <v>44</v>
      </c>
      <c r="E240" s="11" t="n">
        <v>8</v>
      </c>
      <c r="F240" s="12" t="n">
        <v>13000</v>
      </c>
      <c r="G240" s="12" t="n">
        <f aca="false">E240*F240</f>
        <v>104000</v>
      </c>
    </row>
    <row r="241" customFormat="false" ht="14.25" hidden="false" customHeight="true" outlineLevel="0" collapsed="false">
      <c r="A241" s="10" t="n">
        <v>45741</v>
      </c>
      <c r="B241" s="11" t="s">
        <v>56</v>
      </c>
      <c r="C241" s="11" t="s">
        <v>46</v>
      </c>
      <c r="D241" s="11" t="s">
        <v>66</v>
      </c>
      <c r="E241" s="11" t="n">
        <v>11</v>
      </c>
      <c r="F241" s="12" t="n">
        <v>12000</v>
      </c>
      <c r="G241" s="12" t="n">
        <f aca="false">E241*F241</f>
        <v>132000</v>
      </c>
    </row>
    <row r="242" customFormat="false" ht="14.25" hidden="false" customHeight="true" outlineLevel="0" collapsed="false">
      <c r="A242" s="10" t="n">
        <v>45741</v>
      </c>
      <c r="B242" s="11" t="s">
        <v>48</v>
      </c>
      <c r="C242" s="11" t="s">
        <v>59</v>
      </c>
      <c r="D242" s="11" t="s">
        <v>61</v>
      </c>
      <c r="E242" s="11" t="n">
        <v>13</v>
      </c>
      <c r="F242" s="12" t="n">
        <v>28000</v>
      </c>
      <c r="G242" s="12" t="n">
        <f aca="false">E242*F242</f>
        <v>364000</v>
      </c>
    </row>
    <row r="243" customFormat="false" ht="14.25" hidden="false" customHeight="true" outlineLevel="0" collapsed="false">
      <c r="A243" s="10" t="n">
        <v>45741</v>
      </c>
      <c r="B243" s="11" t="s">
        <v>48</v>
      </c>
      <c r="C243" s="11" t="s">
        <v>46</v>
      </c>
      <c r="D243" s="11" t="s">
        <v>58</v>
      </c>
      <c r="E243" s="11" t="n">
        <v>20</v>
      </c>
      <c r="F243" s="12" t="n">
        <v>4500</v>
      </c>
      <c r="G243" s="12" t="n">
        <f aca="false">E243*F243</f>
        <v>90000</v>
      </c>
    </row>
    <row r="244" customFormat="false" ht="14.25" hidden="false" customHeight="true" outlineLevel="0" collapsed="false">
      <c r="A244" s="10" t="n">
        <v>45741</v>
      </c>
      <c r="B244" s="11" t="s">
        <v>48</v>
      </c>
      <c r="C244" s="11" t="s">
        <v>43</v>
      </c>
      <c r="D244" s="11" t="s">
        <v>62</v>
      </c>
      <c r="E244" s="11" t="n">
        <v>13</v>
      </c>
      <c r="F244" s="12" t="n">
        <v>66500</v>
      </c>
      <c r="G244" s="12" t="n">
        <f aca="false">E244*F244</f>
        <v>864500</v>
      </c>
    </row>
    <row r="245" customFormat="false" ht="14.25" hidden="false" customHeight="true" outlineLevel="0" collapsed="false">
      <c r="A245" s="10" t="n">
        <v>45742</v>
      </c>
      <c r="B245" s="11" t="s">
        <v>48</v>
      </c>
      <c r="C245" s="11" t="s">
        <v>49</v>
      </c>
      <c r="D245" s="11" t="s">
        <v>50</v>
      </c>
      <c r="E245" s="11" t="n">
        <v>12</v>
      </c>
      <c r="F245" s="12" t="n">
        <v>18000</v>
      </c>
      <c r="G245" s="12" t="n">
        <f aca="false">E245*F245</f>
        <v>216000</v>
      </c>
    </row>
    <row r="246" customFormat="false" ht="14.25" hidden="false" customHeight="true" outlineLevel="0" collapsed="false">
      <c r="A246" s="10" t="n">
        <v>45742</v>
      </c>
      <c r="B246" s="11" t="s">
        <v>42</v>
      </c>
      <c r="C246" s="11" t="s">
        <v>49</v>
      </c>
      <c r="D246" s="11" t="s">
        <v>52</v>
      </c>
      <c r="E246" s="11" t="n">
        <v>7</v>
      </c>
      <c r="F246" s="12" t="n">
        <v>17000</v>
      </c>
      <c r="G246" s="12" t="n">
        <f aca="false">E246*F246</f>
        <v>119000</v>
      </c>
    </row>
    <row r="247" customFormat="false" ht="14.25" hidden="false" customHeight="true" outlineLevel="0" collapsed="false">
      <c r="A247" s="10" t="n">
        <v>45742</v>
      </c>
      <c r="B247" s="11" t="s">
        <v>42</v>
      </c>
      <c r="C247" s="11" t="s">
        <v>46</v>
      </c>
      <c r="D247" s="11" t="s">
        <v>53</v>
      </c>
      <c r="E247" s="11" t="n">
        <v>14</v>
      </c>
      <c r="F247" s="12" t="n">
        <v>3500</v>
      </c>
      <c r="G247" s="12" t="n">
        <f aca="false">E247*F247</f>
        <v>49000</v>
      </c>
    </row>
    <row r="248" customFormat="false" ht="14.25" hidden="false" customHeight="true" outlineLevel="0" collapsed="false">
      <c r="A248" s="10" t="n">
        <v>45743</v>
      </c>
      <c r="B248" s="11" t="s">
        <v>42</v>
      </c>
      <c r="C248" s="11" t="s">
        <v>59</v>
      </c>
      <c r="D248" s="11" t="s">
        <v>60</v>
      </c>
      <c r="E248" s="11" t="n">
        <v>7</v>
      </c>
      <c r="F248" s="12" t="n">
        <v>8500</v>
      </c>
      <c r="G248" s="12" t="n">
        <f aca="false">E248*F248</f>
        <v>59500</v>
      </c>
    </row>
    <row r="249" customFormat="false" ht="14.25" hidden="false" customHeight="true" outlineLevel="0" collapsed="false">
      <c r="A249" s="10" t="n">
        <v>45743</v>
      </c>
      <c r="B249" s="11" t="s">
        <v>48</v>
      </c>
      <c r="C249" s="11" t="s">
        <v>43</v>
      </c>
      <c r="D249" s="11" t="s">
        <v>44</v>
      </c>
      <c r="E249" s="11" t="n">
        <v>17</v>
      </c>
      <c r="F249" s="12" t="n">
        <v>14000</v>
      </c>
      <c r="G249" s="12" t="n">
        <f aca="false">E249*F249</f>
        <v>238000</v>
      </c>
    </row>
    <row r="250" customFormat="false" ht="14.25" hidden="false" customHeight="true" outlineLevel="0" collapsed="false">
      <c r="A250" s="10" t="n">
        <v>45743</v>
      </c>
      <c r="B250" s="11" t="s">
        <v>48</v>
      </c>
      <c r="C250" s="11" t="s">
        <v>46</v>
      </c>
      <c r="D250" s="11" t="s">
        <v>53</v>
      </c>
      <c r="E250" s="11" t="n">
        <v>6</v>
      </c>
      <c r="F250" s="12" t="n">
        <v>4000</v>
      </c>
      <c r="G250" s="12" t="n">
        <f aca="false">E250*F250</f>
        <v>24000</v>
      </c>
    </row>
    <row r="251" customFormat="false" ht="14.25" hidden="false" customHeight="true" outlineLevel="0" collapsed="false">
      <c r="A251" s="10" t="n">
        <v>45743</v>
      </c>
      <c r="B251" s="11" t="s">
        <v>45</v>
      </c>
      <c r="C251" s="11" t="s">
        <v>49</v>
      </c>
      <c r="D251" s="11" t="s">
        <v>52</v>
      </c>
      <c r="E251" s="11" t="n">
        <v>14</v>
      </c>
      <c r="F251" s="12" t="n">
        <v>15000</v>
      </c>
      <c r="G251" s="12" t="n">
        <f aca="false">E251*F251</f>
        <v>210000</v>
      </c>
    </row>
    <row r="252" customFormat="false" ht="14.25" hidden="false" customHeight="true" outlineLevel="0" collapsed="false">
      <c r="A252" s="10" t="n">
        <v>45743</v>
      </c>
      <c r="B252" s="11" t="s">
        <v>56</v>
      </c>
      <c r="C252" s="11" t="s">
        <v>46</v>
      </c>
      <c r="D252" s="11" t="s">
        <v>53</v>
      </c>
      <c r="E252" s="11" t="n">
        <v>16</v>
      </c>
      <c r="F252" s="12" t="n">
        <v>3000</v>
      </c>
      <c r="G252" s="12" t="n">
        <f aca="false">E252*F252</f>
        <v>48000</v>
      </c>
    </row>
    <row r="253" customFormat="false" ht="14.25" hidden="false" customHeight="true" outlineLevel="0" collapsed="false">
      <c r="A253" s="10" t="n">
        <v>45745</v>
      </c>
      <c r="B253" s="11" t="s">
        <v>48</v>
      </c>
      <c r="C253" s="11" t="s">
        <v>43</v>
      </c>
      <c r="D253" s="11" t="s">
        <v>62</v>
      </c>
      <c r="E253" s="11" t="n">
        <v>11</v>
      </c>
      <c r="F253" s="12" t="n">
        <v>66500</v>
      </c>
      <c r="G253" s="12" t="n">
        <f aca="false">E253*F253</f>
        <v>731500</v>
      </c>
    </row>
    <row r="254" customFormat="false" ht="14.25" hidden="false" customHeight="true" outlineLevel="0" collapsed="false">
      <c r="A254" s="10" t="n">
        <v>45745</v>
      </c>
      <c r="B254" s="11" t="s">
        <v>48</v>
      </c>
      <c r="C254" s="11" t="s">
        <v>59</v>
      </c>
      <c r="D254" s="11" t="s">
        <v>60</v>
      </c>
      <c r="E254" s="11" t="n">
        <v>11</v>
      </c>
      <c r="F254" s="12" t="n">
        <v>8000</v>
      </c>
      <c r="G254" s="12" t="n">
        <f aca="false">E254*F254</f>
        <v>88000</v>
      </c>
    </row>
    <row r="255" customFormat="false" ht="14.25" hidden="false" customHeight="true" outlineLevel="0" collapsed="false">
      <c r="A255" s="10" t="n">
        <v>45745</v>
      </c>
      <c r="B255" s="11" t="s">
        <v>56</v>
      </c>
      <c r="C255" s="11" t="s">
        <v>49</v>
      </c>
      <c r="D255" s="11" t="s">
        <v>57</v>
      </c>
      <c r="E255" s="11" t="n">
        <v>16</v>
      </c>
      <c r="F255" s="12" t="n">
        <v>5000</v>
      </c>
      <c r="G255" s="12" t="n">
        <f aca="false">E255*F255</f>
        <v>80000</v>
      </c>
    </row>
    <row r="256" customFormat="false" ht="14.25" hidden="false" customHeight="true" outlineLevel="0" collapsed="false">
      <c r="A256" s="10" t="n">
        <v>45745</v>
      </c>
      <c r="B256" s="11" t="s">
        <v>54</v>
      </c>
      <c r="C256" s="11" t="s">
        <v>59</v>
      </c>
      <c r="D256" s="11" t="s">
        <v>63</v>
      </c>
      <c r="E256" s="11" t="n">
        <v>19</v>
      </c>
      <c r="F256" s="12" t="n">
        <v>14000</v>
      </c>
      <c r="G256" s="12" t="n">
        <f aca="false">E256*F256</f>
        <v>266000</v>
      </c>
    </row>
    <row r="257" customFormat="false" ht="14.25" hidden="false" customHeight="true" outlineLevel="0" collapsed="false">
      <c r="A257" s="10" t="n">
        <v>45745</v>
      </c>
      <c r="B257" s="11" t="s">
        <v>42</v>
      </c>
      <c r="C257" s="11" t="s">
        <v>46</v>
      </c>
      <c r="D257" s="11" t="s">
        <v>58</v>
      </c>
      <c r="E257" s="11" t="n">
        <v>15</v>
      </c>
      <c r="F257" s="12" t="n">
        <v>4000</v>
      </c>
      <c r="G257" s="12" t="n">
        <f aca="false">E257*F257</f>
        <v>60000</v>
      </c>
    </row>
    <row r="258" customFormat="false" ht="14.25" hidden="false" customHeight="true" outlineLevel="0" collapsed="false">
      <c r="A258" s="10" t="n">
        <v>45746</v>
      </c>
      <c r="B258" s="11" t="s">
        <v>56</v>
      </c>
      <c r="C258" s="11" t="s">
        <v>49</v>
      </c>
      <c r="D258" s="11" t="s">
        <v>50</v>
      </c>
      <c r="E258" s="11" t="n">
        <v>15</v>
      </c>
      <c r="F258" s="12" t="n">
        <v>21000</v>
      </c>
      <c r="G258" s="12" t="n">
        <f aca="false">E258*F258</f>
        <v>315000</v>
      </c>
    </row>
    <row r="259" customFormat="false" ht="14.25" hidden="false" customHeight="true" outlineLevel="0" collapsed="false">
      <c r="A259" s="10" t="n">
        <v>45746</v>
      </c>
      <c r="B259" s="11" t="s">
        <v>42</v>
      </c>
      <c r="C259" s="11" t="s">
        <v>46</v>
      </c>
      <c r="D259" s="11" t="s">
        <v>58</v>
      </c>
      <c r="E259" s="11" t="n">
        <v>8</v>
      </c>
      <c r="F259" s="12" t="n">
        <v>5000</v>
      </c>
      <c r="G259" s="12" t="n">
        <f aca="false">E259*F259</f>
        <v>40000</v>
      </c>
    </row>
    <row r="260" customFormat="false" ht="14.25" hidden="false" customHeight="true" outlineLevel="0" collapsed="false">
      <c r="A260" s="10" t="n">
        <v>45746</v>
      </c>
      <c r="B260" s="11" t="s">
        <v>42</v>
      </c>
      <c r="C260" s="11" t="s">
        <v>49</v>
      </c>
      <c r="D260" s="11" t="s">
        <v>65</v>
      </c>
      <c r="E260" s="11" t="n">
        <v>20</v>
      </c>
      <c r="F260" s="12" t="n">
        <v>15000</v>
      </c>
      <c r="G260" s="12" t="n">
        <f aca="false">E260*F260</f>
        <v>300000</v>
      </c>
    </row>
    <row r="261" customFormat="false" ht="14.25" hidden="false" customHeight="true" outlineLevel="0" collapsed="false">
      <c r="A261" s="10" t="n">
        <v>45747</v>
      </c>
      <c r="B261" s="11" t="s">
        <v>54</v>
      </c>
      <c r="C261" s="11" t="s">
        <v>59</v>
      </c>
      <c r="D261" s="11" t="s">
        <v>60</v>
      </c>
      <c r="E261" s="11" t="n">
        <v>13</v>
      </c>
      <c r="F261" s="12" t="n">
        <v>8500</v>
      </c>
      <c r="G261" s="12" t="n">
        <f aca="false">E261*F261</f>
        <v>110500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23" activeCellId="0" sqref="I23"/>
    </sheetView>
  </sheetViews>
  <sheetFormatPr defaultColWidth="8.6796875" defaultRowHeight="14.25" zeroHeight="false" outlineLevelRow="0" outlineLevelCol="0"/>
  <cols>
    <col collapsed="false" customWidth="true" hidden="false" outlineLevel="0" max="1" min="1" style="1" width="23.33"/>
    <col collapsed="false" customWidth="true" hidden="false" outlineLevel="0" max="2" min="2" style="1" width="16.89"/>
    <col collapsed="false" customWidth="true" hidden="false" outlineLevel="0" max="3" min="3" style="1" width="10.11"/>
    <col collapsed="false" customWidth="true" hidden="false" outlineLevel="0" max="4" min="4" style="1" width="9.21"/>
    <col collapsed="false" customWidth="true" hidden="false" outlineLevel="0" max="5" min="5" style="1" width="9.11"/>
    <col collapsed="false" customWidth="true" hidden="false" outlineLevel="0" max="6" min="6" style="1" width="10.78"/>
    <col collapsed="false" customWidth="true" hidden="false" outlineLevel="0" max="7" min="7" style="1" width="20.78"/>
    <col collapsed="false" customWidth="true" hidden="false" outlineLevel="0" max="8" min="8" style="1" width="10.44"/>
    <col collapsed="false" customWidth="true" hidden="false" outlineLevel="0" max="9" min="9" style="1" width="20.78"/>
    <col collapsed="false" customWidth="true" hidden="false" outlineLevel="0" max="10" min="10" style="1" width="15.22"/>
    <col collapsed="false" customWidth="true" hidden="false" outlineLevel="0" max="11" min="11" style="1" width="25.67"/>
  </cols>
  <sheetData>
    <row r="3" customFormat="false" ht="14.25" hidden="false" customHeight="true" outlineLevel="0" collapsed="false">
      <c r="A3" s="13" t="s">
        <v>67</v>
      </c>
      <c r="B3" s="14" t="s">
        <v>37</v>
      </c>
      <c r="C3" s="15"/>
      <c r="D3" s="15"/>
      <c r="E3" s="15"/>
      <c r="F3" s="16"/>
    </row>
    <row r="4" customFormat="false" ht="14.25" hidden="false" customHeight="true" outlineLevel="0" collapsed="false">
      <c r="A4" s="17" t="s">
        <v>36</v>
      </c>
      <c r="B4" s="18" t="s">
        <v>49</v>
      </c>
      <c r="C4" s="19" t="s">
        <v>43</v>
      </c>
      <c r="D4" s="19" t="s">
        <v>46</v>
      </c>
      <c r="E4" s="19" t="s">
        <v>59</v>
      </c>
      <c r="F4" s="20" t="s">
        <v>68</v>
      </c>
    </row>
    <row r="5" customFormat="false" ht="14.25" hidden="false" customHeight="true" outlineLevel="0" collapsed="false">
      <c r="A5" s="21" t="s">
        <v>48</v>
      </c>
      <c r="B5" s="22" t="n">
        <v>1765500</v>
      </c>
      <c r="C5" s="23" t="n">
        <v>7615000</v>
      </c>
      <c r="D5" s="23" t="n">
        <v>1444500</v>
      </c>
      <c r="E5" s="24" t="n">
        <v>2131000</v>
      </c>
      <c r="F5" s="25" t="n">
        <v>12956000</v>
      </c>
    </row>
    <row r="6" customFormat="false" ht="14.25" hidden="false" customHeight="true" outlineLevel="0" collapsed="false">
      <c r="A6" s="26" t="s">
        <v>54</v>
      </c>
      <c r="B6" s="27" t="n">
        <v>2012500</v>
      </c>
      <c r="C6" s="28" t="n">
        <v>4378000</v>
      </c>
      <c r="D6" s="28" t="n">
        <v>715000</v>
      </c>
      <c r="E6" s="29" t="n">
        <v>1322000</v>
      </c>
      <c r="F6" s="30" t="n">
        <v>8427500</v>
      </c>
    </row>
    <row r="7" customFormat="false" ht="14.25" hidden="false" customHeight="true" outlineLevel="0" collapsed="false">
      <c r="A7" s="26" t="s">
        <v>56</v>
      </c>
      <c r="B7" s="27" t="n">
        <v>2821000</v>
      </c>
      <c r="C7" s="28" t="n">
        <v>5771500</v>
      </c>
      <c r="D7" s="28" t="n">
        <v>1747000</v>
      </c>
      <c r="E7" s="29" t="n">
        <v>1128000</v>
      </c>
      <c r="F7" s="30" t="n">
        <v>11467500</v>
      </c>
    </row>
    <row r="8" customFormat="false" ht="14.25" hidden="false" customHeight="true" outlineLevel="0" collapsed="false">
      <c r="A8" s="26" t="s">
        <v>45</v>
      </c>
      <c r="B8" s="27" t="n">
        <v>2767500</v>
      </c>
      <c r="C8" s="28" t="n">
        <v>4383000</v>
      </c>
      <c r="D8" s="28" t="n">
        <v>674500</v>
      </c>
      <c r="E8" s="29" t="n">
        <v>1654500</v>
      </c>
      <c r="F8" s="30" t="n">
        <v>9479500</v>
      </c>
    </row>
    <row r="9" customFormat="false" ht="14.25" hidden="false" customHeight="true" outlineLevel="0" collapsed="false">
      <c r="A9" s="26" t="s">
        <v>42</v>
      </c>
      <c r="B9" s="31" t="n">
        <v>2445000</v>
      </c>
      <c r="C9" s="32" t="n">
        <v>9527000</v>
      </c>
      <c r="D9" s="32" t="n">
        <v>1362500</v>
      </c>
      <c r="E9" s="33" t="n">
        <v>1443000</v>
      </c>
      <c r="F9" s="34" t="n">
        <v>14777500</v>
      </c>
    </row>
    <row r="10" customFormat="false" ht="14.25" hidden="false" customHeight="true" outlineLevel="0" collapsed="false">
      <c r="A10" s="35" t="s">
        <v>68</v>
      </c>
      <c r="B10" s="36" t="n">
        <v>11811500</v>
      </c>
      <c r="C10" s="37" t="n">
        <v>31674500</v>
      </c>
      <c r="D10" s="37" t="n">
        <v>5943500</v>
      </c>
      <c r="E10" s="38" t="n">
        <v>7678500</v>
      </c>
      <c r="F10" s="39" t="n">
        <v>57108000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8.6796875" defaultRowHeight="14.25" zeroHeight="false" outlineLevelRow="0" outlineLevelCol="0"/>
  <cols>
    <col collapsed="false" customWidth="true" hidden="false" outlineLevel="0" max="1" min="1" style="1" width="20.33"/>
    <col collapsed="false" customWidth="true" hidden="false" outlineLevel="0" max="2" min="2" style="1" width="15.56"/>
    <col collapsed="false" customWidth="true" hidden="false" outlineLevel="0" max="3" min="3" style="1" width="4"/>
    <col collapsed="false" customWidth="true" hidden="false" outlineLevel="0" max="4" min="4" style="1" width="4.44"/>
    <col collapsed="false" customWidth="true" hidden="false" outlineLevel="0" max="85" min="5" style="1" width="10.78"/>
  </cols>
  <sheetData>
    <row r="3" customFormat="false" ht="14.25" hidden="false" customHeight="true" outlineLevel="0" collapsed="false">
      <c r="A3" s="40" t="s">
        <v>38</v>
      </c>
      <c r="B3" s="41" t="s">
        <v>69</v>
      </c>
    </row>
    <row r="4" customFormat="false" ht="14.25" hidden="false" customHeight="true" outlineLevel="0" collapsed="false">
      <c r="A4" s="21" t="s">
        <v>65</v>
      </c>
      <c r="B4" s="42" t="n">
        <v>221</v>
      </c>
    </row>
    <row r="5" customFormat="false" ht="14.25" hidden="false" customHeight="true" outlineLevel="0" collapsed="false">
      <c r="A5" s="26" t="s">
        <v>55</v>
      </c>
      <c r="B5" s="43" t="n">
        <v>130</v>
      </c>
    </row>
    <row r="6" customFormat="false" ht="14.25" hidden="false" customHeight="true" outlineLevel="0" collapsed="false">
      <c r="A6" s="26" t="s">
        <v>58</v>
      </c>
      <c r="B6" s="43" t="n">
        <v>257</v>
      </c>
    </row>
    <row r="7" customFormat="false" ht="14.25" hidden="false" customHeight="true" outlineLevel="0" collapsed="false">
      <c r="A7" s="26" t="s">
        <v>47</v>
      </c>
      <c r="B7" s="43" t="n">
        <v>178</v>
      </c>
    </row>
    <row r="8" customFormat="false" ht="14.25" hidden="false" customHeight="true" outlineLevel="0" collapsed="false">
      <c r="A8" s="26" t="s">
        <v>57</v>
      </c>
      <c r="B8" s="43" t="n">
        <v>126</v>
      </c>
    </row>
    <row r="9" customFormat="false" ht="14.25" hidden="false" customHeight="true" outlineLevel="0" collapsed="false">
      <c r="A9" s="26" t="s">
        <v>52</v>
      </c>
      <c r="B9" s="43" t="n">
        <v>221</v>
      </c>
    </row>
    <row r="10" customFormat="false" ht="14.25" hidden="false" customHeight="true" outlineLevel="0" collapsed="false">
      <c r="A10" s="26" t="s">
        <v>44</v>
      </c>
      <c r="B10" s="43" t="n">
        <v>205</v>
      </c>
    </row>
    <row r="11" customFormat="false" ht="14.25" hidden="false" customHeight="true" outlineLevel="0" collapsed="false">
      <c r="A11" s="26" t="s">
        <v>51</v>
      </c>
      <c r="B11" s="43" t="n">
        <v>149</v>
      </c>
    </row>
    <row r="12" customFormat="false" ht="14.25" hidden="false" customHeight="true" outlineLevel="0" collapsed="false">
      <c r="A12" s="26" t="s">
        <v>66</v>
      </c>
      <c r="B12" s="43" t="n">
        <v>65</v>
      </c>
    </row>
    <row r="13" customFormat="false" ht="14.25" hidden="false" customHeight="true" outlineLevel="0" collapsed="false">
      <c r="A13" s="26" t="s">
        <v>60</v>
      </c>
      <c r="B13" s="43" t="n">
        <v>103</v>
      </c>
    </row>
    <row r="14" customFormat="false" ht="14.25" hidden="false" customHeight="true" outlineLevel="0" collapsed="false">
      <c r="A14" s="26" t="s">
        <v>64</v>
      </c>
      <c r="B14" s="43" t="n">
        <v>86</v>
      </c>
    </row>
    <row r="15" customFormat="false" ht="14.25" hidden="false" customHeight="true" outlineLevel="0" collapsed="false">
      <c r="A15" s="26" t="s">
        <v>50</v>
      </c>
      <c r="B15" s="43" t="n">
        <v>210</v>
      </c>
    </row>
    <row r="16" customFormat="false" ht="14.25" hidden="false" customHeight="true" outlineLevel="0" collapsed="false">
      <c r="A16" s="26" t="s">
        <v>63</v>
      </c>
      <c r="B16" s="43" t="n">
        <v>109</v>
      </c>
    </row>
    <row r="17" customFormat="false" ht="14.25" hidden="false" customHeight="true" outlineLevel="0" collapsed="false">
      <c r="A17" s="26" t="s">
        <v>61</v>
      </c>
      <c r="B17" s="43" t="n">
        <v>162</v>
      </c>
    </row>
    <row r="18" customFormat="false" ht="14.25" hidden="false" customHeight="true" outlineLevel="0" collapsed="false">
      <c r="A18" s="26" t="s">
        <v>62</v>
      </c>
      <c r="B18" s="43" t="n">
        <v>380</v>
      </c>
    </row>
    <row r="19" customFormat="false" ht="14.25" hidden="false" customHeight="true" outlineLevel="0" collapsed="false">
      <c r="A19" s="26" t="s">
        <v>53</v>
      </c>
      <c r="B19" s="44" t="n">
        <v>231</v>
      </c>
    </row>
    <row r="20" customFormat="false" ht="14.25" hidden="false" customHeight="true" outlineLevel="0" collapsed="false">
      <c r="A20" s="35" t="s">
        <v>68</v>
      </c>
      <c r="B20" s="45" t="n">
        <v>2833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8.66796875" defaultRowHeight="14.25" zeroHeight="false" outlineLevelRow="0" outlineLevelCol="0"/>
  <cols>
    <col collapsed="false" customWidth="true" hidden="false" outlineLevel="0" max="1" min="1" style="1" width="3"/>
    <col collapsed="false" customWidth="true" hidden="false" outlineLevel="0" max="2" min="2" style="1" width="8"/>
    <col collapsed="false" customWidth="true" hidden="false" outlineLevel="0" max="3" min="3" style="1" width="88"/>
  </cols>
  <sheetData>
    <row r="1" customFormat="false" ht="14.25" hidden="false" customHeight="false" outlineLevel="0" collapsed="false">
      <c r="A1" s="46"/>
      <c r="B1" s="46"/>
      <c r="C1" s="46"/>
    </row>
    <row r="2" customFormat="false" ht="24" hidden="false" customHeight="true" outlineLevel="0" collapsed="false">
      <c r="A2" s="46"/>
      <c r="B2" s="47" t="s">
        <v>70</v>
      </c>
      <c r="C2" s="46"/>
    </row>
    <row r="3" customFormat="false" ht="14.25" hidden="false" customHeight="true" outlineLevel="0" collapsed="false">
      <c r="A3" s="46"/>
      <c r="B3" s="46"/>
      <c r="C3" s="48"/>
    </row>
    <row r="4" customFormat="false" ht="30" hidden="false" customHeight="true" outlineLevel="0" collapsed="false">
      <c r="A4" s="46"/>
      <c r="B4" s="46"/>
      <c r="C4" s="49" t="s">
        <v>71</v>
      </c>
    </row>
    <row r="5" customFormat="false" ht="30" hidden="false" customHeight="true" outlineLevel="0" collapsed="false">
      <c r="A5" s="46"/>
      <c r="B5" s="46"/>
      <c r="C5" s="49"/>
    </row>
    <row r="6" customFormat="false" ht="6" hidden="false" customHeight="true" outlineLevel="0" collapsed="false">
      <c r="A6" s="46"/>
      <c r="B6" s="50"/>
      <c r="C6" s="51"/>
    </row>
    <row r="7" customFormat="false" ht="30" hidden="false" customHeight="true" outlineLevel="0" collapsed="false">
      <c r="A7" s="46"/>
      <c r="B7" s="50"/>
      <c r="C7" s="49" t="s">
        <v>72</v>
      </c>
    </row>
    <row r="8" customFormat="false" ht="30" hidden="false" customHeight="true" outlineLevel="0" collapsed="false">
      <c r="A8" s="46"/>
      <c r="B8" s="51"/>
      <c r="C8" s="49"/>
    </row>
    <row r="9" customFormat="false" ht="6" hidden="false" customHeight="true" outlineLevel="0" collapsed="false">
      <c r="A9" s="46"/>
      <c r="B9" s="51"/>
      <c r="C9" s="51"/>
    </row>
    <row r="10" customFormat="false" ht="30" hidden="false" customHeight="true" outlineLevel="0" collapsed="false">
      <c r="A10" s="46"/>
      <c r="B10" s="51"/>
      <c r="C10" s="49" t="s">
        <v>73</v>
      </c>
    </row>
    <row r="11" customFormat="false" ht="30" hidden="false" customHeight="true" outlineLevel="0" collapsed="false">
      <c r="A11" s="46"/>
      <c r="B11" s="51"/>
      <c r="C11" s="49"/>
    </row>
    <row r="12" customFormat="false" ht="6" hidden="false" customHeight="true" outlineLevel="0" collapsed="false">
      <c r="A12" s="46"/>
      <c r="B12" s="46"/>
      <c r="C12" s="46"/>
    </row>
    <row r="13" customFormat="false" ht="14.25" hidden="false" customHeight="false" outlineLevel="0" collapsed="false">
      <c r="A13" s="46"/>
      <c r="B13" s="46"/>
      <c r="C13" s="46"/>
    </row>
    <row r="14" customFormat="false" ht="14.25" hidden="false" customHeight="true" outlineLevel="0" collapsed="false">
      <c r="A14" s="46"/>
      <c r="B14" s="46"/>
      <c r="C14" s="52"/>
    </row>
    <row r="15" customFormat="false" ht="30" hidden="false" customHeight="true" outlineLevel="0" collapsed="false">
      <c r="A15" s="46"/>
      <c r="B15" s="46"/>
      <c r="C15" s="53"/>
    </row>
    <row r="16" customFormat="false" ht="30" hidden="false" customHeight="true" outlineLevel="0" collapsed="false">
      <c r="A16" s="46"/>
      <c r="B16" s="46"/>
      <c r="C16" s="46"/>
    </row>
    <row r="17" customFormat="false" ht="6" hidden="false" customHeight="true" outlineLevel="0" collapsed="false">
      <c r="A17" s="46"/>
      <c r="B17" s="46"/>
      <c r="C17" s="46"/>
    </row>
    <row r="18" customFormat="false" ht="30" hidden="false" customHeight="true" outlineLevel="0" collapsed="false">
      <c r="A18" s="46"/>
      <c r="B18" s="46"/>
      <c r="C18" s="53"/>
    </row>
    <row r="19" customFormat="false" ht="30" hidden="false" customHeight="true" outlineLevel="0" collapsed="false">
      <c r="A19" s="46"/>
      <c r="B19" s="46"/>
      <c r="C19" s="46"/>
    </row>
    <row r="20" customFormat="false" ht="6" hidden="false" customHeight="true" outlineLevel="0" collapsed="false">
      <c r="A20" s="46"/>
      <c r="B20" s="46"/>
      <c r="C20" s="46"/>
    </row>
    <row r="21" customFormat="false" ht="30" hidden="false" customHeight="true" outlineLevel="0" collapsed="false">
      <c r="A21" s="46"/>
      <c r="B21" s="46"/>
      <c r="C21" s="53"/>
    </row>
    <row r="22" customFormat="false" ht="30" hidden="false" customHeight="true" outlineLevel="0" collapsed="false"/>
    <row r="23" customFormat="false" ht="6" hidden="false" customHeight="true" outlineLevel="0" collapsed="false"/>
  </sheetData>
  <mergeCells count="3">
    <mergeCell ref="C4:C5"/>
    <mergeCell ref="C7:C8"/>
    <mergeCell ref="C10:C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2026-08-22T10:12:23Z</dcterms:created>
  <dc:creator>openpyxl</dc:creator>
  <dc:description/>
  <dc:language>en-US</dc:language>
  <cp:lastModifiedBy/>
  <dcterms:modified xsi:type="dcterms:W3CDTF">2026-08-23T12:40:43Z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